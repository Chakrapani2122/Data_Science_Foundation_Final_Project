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mc:AlternateContent xmlns:mc="http://schemas.openxmlformats.org/markup-compatibility/2006">
    <mc:Choice Requires="x15">
      <x15ac:absPath xmlns:x15ac="http://schemas.microsoft.com/office/spreadsheetml/2010/11/ac" url="https://ksuemailprod.sharepoint.com/sites/DSF/Shared Documents/MALLET_Results/"/>
    </mc:Choice>
  </mc:AlternateContent>
  <xr:revisionPtr revIDLastSave="1021" documentId="11_FCA74DA8B31A7F68E8FC9482D96705E33CED4125" xr6:coauthVersionLast="47" xr6:coauthVersionMax="47" xr10:uidLastSave="{F8C00D37-78E8-F14A-BAFE-DF86CE0E77A8}"/>
  <bookViews>
    <workbookView xWindow="0" yWindow="660" windowWidth="29400" windowHeight="18460" activeTab="3" xr2:uid="{00000000-000D-0000-FFFF-FFFF00000000}"/>
  </bookViews>
  <sheets>
    <sheet name="Classification" sheetId="1" r:id="rId1"/>
    <sheet name="Classification_Bestmodels" sheetId="3" r:id="rId2"/>
    <sheet name="CVClassification" sheetId="2" r:id="rId3"/>
    <sheet name="CV_Bestmodel"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I5" i="1"/>
  <c r="H5" i="1"/>
  <c r="G5" i="1"/>
  <c r="J4" i="1"/>
  <c r="J9" i="1"/>
  <c r="J2" i="1"/>
  <c r="J22" i="1"/>
  <c r="J15" i="1"/>
  <c r="J3" i="1"/>
  <c r="J7" i="1"/>
  <c r="J8" i="1"/>
  <c r="J21" i="1"/>
  <c r="J6" i="1"/>
  <c r="I4" i="1"/>
  <c r="I9" i="1"/>
  <c r="I2" i="1"/>
  <c r="I22" i="1"/>
  <c r="I15" i="1"/>
  <c r="I3" i="1"/>
  <c r="I7" i="1"/>
  <c r="I8" i="1"/>
  <c r="I21" i="1"/>
  <c r="I6" i="1"/>
  <c r="H4" i="1"/>
  <c r="H9" i="1"/>
  <c r="H2" i="1"/>
  <c r="H22" i="1"/>
  <c r="H15" i="1"/>
  <c r="H3" i="1"/>
  <c r="H7" i="1"/>
  <c r="H8" i="1"/>
  <c r="H21" i="1"/>
  <c r="H6" i="1"/>
  <c r="G4" i="1"/>
  <c r="G9" i="1"/>
  <c r="G2" i="1"/>
  <c r="G22" i="1"/>
  <c r="G15" i="1"/>
  <c r="G3" i="1"/>
  <c r="G7" i="1"/>
  <c r="G8" i="1"/>
  <c r="G21" i="1"/>
  <c r="G6" i="1"/>
  <c r="J19" i="1"/>
  <c r="J29" i="1"/>
  <c r="J30" i="1"/>
  <c r="J32" i="1"/>
  <c r="J33" i="1"/>
  <c r="J38" i="1"/>
  <c r="J40" i="1"/>
  <c r="J37" i="1"/>
  <c r="J41" i="1"/>
  <c r="J16" i="1"/>
  <c r="I16" i="1"/>
  <c r="I19" i="1"/>
  <c r="I29" i="1"/>
  <c r="I30" i="1"/>
  <c r="I32" i="1"/>
  <c r="I33" i="1"/>
  <c r="I38" i="1"/>
  <c r="I40" i="1"/>
  <c r="I37" i="1"/>
  <c r="I41" i="1"/>
  <c r="H16" i="1"/>
  <c r="H19" i="1"/>
  <c r="H29" i="1"/>
  <c r="H30" i="1"/>
  <c r="H32" i="1"/>
  <c r="H33" i="1"/>
  <c r="H38" i="1"/>
  <c r="H40" i="1"/>
  <c r="H37" i="1"/>
  <c r="H41" i="1"/>
  <c r="G16" i="1"/>
  <c r="G19" i="1"/>
  <c r="G29" i="1"/>
  <c r="G30" i="1"/>
  <c r="G32" i="1"/>
  <c r="G33" i="1"/>
  <c r="G38" i="1"/>
  <c r="G40" i="1"/>
  <c r="G37" i="1"/>
  <c r="G41" i="1"/>
  <c r="J13" i="1"/>
  <c r="J17" i="1"/>
  <c r="J20" i="1"/>
  <c r="J28" i="1"/>
  <c r="J35" i="1"/>
  <c r="J26" i="1"/>
  <c r="J34" i="1"/>
  <c r="J36" i="1"/>
  <c r="J24" i="1"/>
  <c r="J39" i="1"/>
  <c r="I13" i="1"/>
  <c r="I17" i="1"/>
  <c r="I20" i="1"/>
  <c r="I28" i="1"/>
  <c r="I35" i="1"/>
  <c r="I26" i="1"/>
  <c r="I34" i="1"/>
  <c r="I36" i="1"/>
  <c r="I24" i="1"/>
  <c r="I39" i="1"/>
  <c r="H13" i="1"/>
  <c r="H17" i="1"/>
  <c r="H20" i="1"/>
  <c r="H28" i="1"/>
  <c r="H35" i="1"/>
  <c r="H26" i="1"/>
  <c r="H34" i="1"/>
  <c r="H36" i="1"/>
  <c r="H24" i="1"/>
  <c r="H39" i="1"/>
  <c r="G13" i="1"/>
  <c r="G17" i="1"/>
  <c r="G20" i="1"/>
  <c r="G28" i="1"/>
  <c r="G35" i="1"/>
  <c r="G26" i="1"/>
  <c r="G34" i="1"/>
  <c r="G36" i="1"/>
  <c r="G24" i="1"/>
  <c r="G39" i="1"/>
  <c r="J14" i="1"/>
  <c r="J12" i="1"/>
  <c r="J11" i="1"/>
  <c r="J27" i="1"/>
  <c r="J23" i="1"/>
  <c r="J10" i="1"/>
  <c r="J25" i="1"/>
  <c r="J18" i="1"/>
  <c r="J31" i="1"/>
  <c r="I14" i="1"/>
  <c r="I12" i="1"/>
  <c r="I11" i="1"/>
  <c r="I27" i="1"/>
  <c r="I23" i="1"/>
  <c r="I10" i="1"/>
  <c r="I25" i="1"/>
  <c r="I18" i="1"/>
  <c r="I31" i="1"/>
  <c r="H14" i="1"/>
  <c r="H12" i="1"/>
  <c r="H11" i="1"/>
  <c r="H27" i="1"/>
  <c r="H23" i="1"/>
  <c r="H10" i="1"/>
  <c r="H25" i="1"/>
  <c r="H18" i="1"/>
  <c r="H31" i="1"/>
  <c r="G14" i="1"/>
  <c r="G12" i="1"/>
  <c r="G11" i="1"/>
  <c r="G27" i="1"/>
  <c r="G23" i="1"/>
  <c r="G10" i="1"/>
  <c r="G25" i="1"/>
  <c r="G18" i="1"/>
  <c r="G31" i="1"/>
</calcChain>
</file>

<file path=xl/sharedStrings.xml><?xml version="1.0" encoding="utf-8"?>
<sst xmlns="http://schemas.openxmlformats.org/spreadsheetml/2006/main" count="140" uniqueCount="32">
  <si>
    <t>Model</t>
  </si>
  <si>
    <t>test_Set</t>
  </si>
  <si>
    <t>True positive</t>
  </si>
  <si>
    <t>False Positive</t>
  </si>
  <si>
    <t>False Negative</t>
  </si>
  <si>
    <t>True Negative</t>
  </si>
  <si>
    <t>Predicted Positive</t>
  </si>
  <si>
    <t>Predicted negative</t>
  </si>
  <si>
    <t>Actual Positive</t>
  </si>
  <si>
    <t>Actual negative</t>
  </si>
  <si>
    <t>Train_Accuracy</t>
  </si>
  <si>
    <t>test_Accuracy</t>
  </si>
  <si>
    <t>Precision(Top_Artists)</t>
  </si>
  <si>
    <t>Precision(Low_Artists)</t>
  </si>
  <si>
    <t>Recall(Top_Artists)</t>
  </si>
  <si>
    <t>Recall(Low_Artists)</t>
  </si>
  <si>
    <t>F1(Top_Artists)</t>
  </si>
  <si>
    <t>F1(Low_Artists)</t>
  </si>
  <si>
    <t>DecisionTree</t>
  </si>
  <si>
    <t>MaxEnt</t>
  </si>
  <si>
    <t>NaiveBayes</t>
  </si>
  <si>
    <t>Winnow</t>
  </si>
  <si>
    <t>Rank</t>
  </si>
  <si>
    <t>Test Accuracy</t>
  </si>
  <si>
    <t>F1 (Top)</t>
  </si>
  <si>
    <t>F1 (Low)</t>
  </si>
  <si>
    <t>Precision (Top)</t>
  </si>
  <si>
    <t>Precision (Low)</t>
  </si>
  <si>
    <t>Recall (Top)</t>
  </si>
  <si>
    <t>Recall (Low)</t>
  </si>
  <si>
    <t>Analysis &amp; Rationale
1. NaiveBayes (test_Set: 0.4)
Why it's #1: This specific configuration yielded the highest Test Accuracy (74.27%) of the entire batch.
Performance: It has the highest combined F1 scores (0.7446 for Top Artists and 0.7399 for Low Artists), meaning it is the most robust model for correctly identifying both categories without sacrificing one for the other.
2. NaiveBayes (test_Set: 0.1)
Why it's #2: It is statistically almost identical to the #1 model, trailing by only a fraction of a percentage in accuracy (74.23%).
Performance: It maintains high recall for Top Artists (75.38%), making it very effective at catching popular content, though slightly less precise than the 0.4 split.
3. NaiveBayes (test_Set: 0.3)
Why it's #3: It holds the third-highest accuracy spot (74.19%).
Performance: This model is notable for its perfect balance. The gap between its F1(Top) and F1(Low) is only 0.0024. If your goal is "fairness" between the two artist classes, this is likely your best candidate.
4. NaiveBayes (test_Set: 0.9)
Why it's #4: It drops slightly to 74.01% accuracy but remains superior to all MaxEnt and DecisionTree models.
Performance: Even with a different test set split, the metrics remain stable, proving the algorithm is reliable.
5. NaiveBayes (test_Set: 0.7)
Why it's #5: It rounds out the top 5 with 73.97% accuracy.
Performance: It was chosen over the next best model (MaxEnt 0.9) because of generalization.</t>
  </si>
  <si>
    <t>Analysis &amp; Rationale
Here is the breakdown of why each model was selected, in order of performance:
1. NaiveBayes (test_Set: 0.95)
Why it's #1: This is the clear winner. It achieved the highest Test Accuracy (77.4%) in the entire dataset.
Performance: It offers the best balance, with both F1 scores sitting above 0.77. It is equally good at predicting Top Artists and Low Artists, meaning it isn't biased toward one specific class.
2. NaiveBayes (test_Set: 0.8)
Why it's #2: It ties for the second-highest accuracy (74.8%) but beats the #3 spot on consistency.
Performance: The difference between its F1(Top) and F1(Low) is negligible (only ~0.002 difference). This makes it an incredibly stable model that treats both classes almost exactly the same.
3. MaxEnt (test_Set: 0.95)
Why it's #3: It tied with the model above for accuracy (74.8%), but its internal metrics are more "lopsided."
Performance: It has a very high Recall for Top Artists (88.7%) but a much lower Recall for Low Artists (62.9%). While it is generally accurate, it is slightly biased toward identifying Top Artists correctly, while missing more Low Artists than the NaiveBayes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</si>
</sst>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rgb="FF006100"/>
      <name val="Aptos Narrow"/>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rgb="FFC6EFCE"/>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1" xfId="1" applyBorder="1"/>
    <xf numFmtId="0" fontId="1" fillId="2" borderId="5" xfId="1" applyBorder="1"/>
    <xf numFmtId="0" fontId="3" fillId="0" borderId="0" xfId="0" applyFont="1"/>
    <xf numFmtId="0" fontId="3" fillId="0" borderId="10" xfId="0" applyFont="1" applyBorder="1"/>
    <xf numFmtId="0" fontId="2" fillId="0" borderId="10" xfId="0" applyFont="1" applyBorder="1"/>
    <xf numFmtId="0" fontId="0" fillId="0" borderId="0" xfId="0" applyAlignment="1">
      <alignment horizontal="left" vertical="center" wrapText="1"/>
    </xf>
    <xf numFmtId="0" fontId="0" fillId="0" borderId="0" xfId="0" applyAlignment="1">
      <alignment horizontal="lef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2" fillId="0" borderId="15" xfId="0" applyFont="1" applyBorder="1"/>
    <xf numFmtId="0" fontId="3" fillId="0" borderId="16" xfId="0" applyFont="1" applyBorder="1"/>
    <xf numFmtId="0" fontId="3" fillId="0" borderId="17" xfId="0" applyFont="1" applyBorder="1"/>
    <xf numFmtId="0" fontId="2" fillId="0" borderId="17" xfId="0" applyFont="1" applyBorder="1"/>
    <xf numFmtId="0" fontId="2" fillId="0" borderId="18" xfId="0" applyFont="1" applyBorder="1"/>
  </cellXfs>
  <cellStyles count="2">
    <cellStyle name="Good" xfId="1" builtinId="26"/>
    <cellStyle name="Normal" xfId="0" builtinId="0"/>
  </cellStyles>
  <dxfs count="59">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B31C18-ABC5-48CC-88FB-A7D9B6BA42EB}" name="Table1" displayName="Table1" ref="A1:R41" totalsRowShown="0">
  <autoFilter ref="A1:R41" xr:uid="{B6B31C18-ABC5-48CC-88FB-A7D9B6BA42EB}"/>
  <sortState xmlns:xlrd2="http://schemas.microsoft.com/office/spreadsheetml/2017/richdata2" ref="A2:R41">
    <sortCondition ref="L2:L41"/>
  </sortState>
  <tableColumns count="18">
    <tableColumn id="1" xr3:uid="{0E10A62C-1FD5-4784-806F-EA449854BC23}" name="Model" dataDxfId="58"/>
    <tableColumn id="2" xr3:uid="{6309671C-AFC8-4A55-9B1D-2B9B4CE9C172}" name="test_Set" dataDxfId="57"/>
    <tableColumn id="3" xr3:uid="{5A0AA9B0-9E6E-4312-A68A-B9B29F35AA32}" name="True positive" dataDxfId="56"/>
    <tableColumn id="4" xr3:uid="{89B9A14E-F951-46CF-AE64-464EFED4E51F}" name="False Positive" dataDxfId="55"/>
    <tableColumn id="5" xr3:uid="{6E08D13D-DE14-4D0D-9B3D-EA8B3F8B4AFE}" name="False Negative" dataDxfId="54"/>
    <tableColumn id="6" xr3:uid="{6C13D506-37F3-4D30-9803-FAAE7A8E14A9}" name="True Negative" dataDxfId="53"/>
    <tableColumn id="7" xr3:uid="{79C62834-3108-4F4D-ACE1-51043BE7BFAA}" name="Predicted Positive" dataDxfId="52">
      <calculatedColumnFormula>SUM(C2,D2)</calculatedColumnFormula>
    </tableColumn>
    <tableColumn id="8" xr3:uid="{3F165629-DA15-406A-8DEA-D545F74403CC}" name="Predicted negative" dataDxfId="51">
      <calculatedColumnFormula>SUM(E2,F2)</calculatedColumnFormula>
    </tableColumn>
    <tableColumn id="9" xr3:uid="{8D5EAFE4-3BB8-40A5-BB41-F3F04EFA60AE}" name="Actual Positive" dataDxfId="50">
      <calculatedColumnFormula>SUM(C2,E2)</calculatedColumnFormula>
    </tableColumn>
    <tableColumn id="10" xr3:uid="{426416F2-B32F-489A-8B53-DA3AE030B4B8}" name="Actual negative" dataDxfId="49">
      <calculatedColumnFormula>SUM(D2,F2)</calculatedColumnFormula>
    </tableColumn>
    <tableColumn id="11" xr3:uid="{1A16EA2E-FF85-48C7-A716-41F7C2FA535E}" name="Train_Accuracy" dataDxfId="48"/>
    <tableColumn id="12" xr3:uid="{19B7E7D5-0E4F-4656-9E88-49CD8FB1A01B}" name="test_Accuracy" dataDxfId="47"/>
    <tableColumn id="13" xr3:uid="{E86B98E9-095E-40C1-A101-81F964E85FB3}" name="Precision(Top_Artists)" dataDxfId="46"/>
    <tableColumn id="14" xr3:uid="{05BCD430-7CEE-4017-A302-AFC842D59A53}" name="Precision(Low_Artists)" dataDxfId="45"/>
    <tableColumn id="15" xr3:uid="{D8F4D070-DFD9-4736-94AB-FCCBB981EC52}" name="Recall(Top_Artists)" dataDxfId="44"/>
    <tableColumn id="16" xr3:uid="{D4667ED0-3B9C-4FBD-A779-6EE912E3DA3D}" name="Recall(Low_Artists)" dataDxfId="43"/>
    <tableColumn id="17" xr3:uid="{2E33B2B3-CD15-4E47-99BC-40B09E7A5FBB}" name="F1(Top_Artists)" dataDxfId="42"/>
    <tableColumn id="18" xr3:uid="{0F30BD3E-CE94-4CF5-BFAF-E42D69EE43E5}" name="F1(Low_Artists)" dataDxfId="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E51D88-7EB5-104B-AD5C-E5A82B3ECDC8}" name="Table3" displayName="Table3" ref="A1:J6" totalsRowShown="0" headerRowDxfId="25" dataDxfId="26">
  <autoFilter ref="A1:J6" xr:uid="{16E51D88-7EB5-104B-AD5C-E5A82B3ECDC8}"/>
  <tableColumns count="10">
    <tableColumn id="1" xr3:uid="{D5E2FA3B-00C1-594F-9302-3E8BE580074E}" name="Rank" dataDxfId="24"/>
    <tableColumn id="2" xr3:uid="{B3204D63-1590-C14C-AA74-5D10F67DA21A}" name="Model" dataDxfId="23"/>
    <tableColumn id="3" xr3:uid="{7D89B166-E1D1-5748-A095-A39CB434F431}" name="test_Set" dataDxfId="22"/>
    <tableColumn id="4" xr3:uid="{2E7FEDFA-35F1-3A43-8E99-AF9A983C2B64}" name="Test Accuracy" dataDxfId="21"/>
    <tableColumn id="5" xr3:uid="{0F32A27E-ECDC-934A-B909-46588EEE9FFA}" name="F1 (Top)" dataDxfId="20"/>
    <tableColumn id="6" xr3:uid="{65D7C89E-F133-3940-B53F-C9BF85F360F2}" name="F1 (Low)" dataDxfId="19"/>
    <tableColumn id="7" xr3:uid="{77C596CF-217E-ED4F-A799-A3E2DA39580D}" name="Precision (Top)" dataDxfId="18"/>
    <tableColumn id="8" xr3:uid="{DBF4E3AE-B25E-7E4F-9798-0F2D686B0377}" name="Precision (Low)" dataDxfId="17"/>
    <tableColumn id="9" xr3:uid="{DFB585E8-95F9-304E-B122-BD558154ED61}" name="Recall (Top)" dataDxfId="16"/>
    <tableColumn id="10" xr3:uid="{87CBDF13-2695-7846-9FC5-CDD57AE5657C}" name="Recall (Low)" dataDxfId="15"/>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DC704-D78E-4E93-A507-D694A88A6C54}" name="Table2" displayName="Table2" ref="A1:J41" totalsRowShown="0" headerRowDxfId="40" headerRowBorderDxfId="39" tableBorderDxfId="38" totalsRowBorderDxfId="37">
  <autoFilter ref="A1:J41" xr:uid="{84BDC704-D78E-4E93-A507-D694A88A6C54}"/>
  <sortState xmlns:xlrd2="http://schemas.microsoft.com/office/spreadsheetml/2017/richdata2" ref="A2:J41">
    <sortCondition descending="1" ref="D1:D41"/>
  </sortState>
  <tableColumns count="10">
    <tableColumn id="1" xr3:uid="{9D9FEC50-7ACF-4021-A060-E99E9B8A3693}" name="Model" dataDxfId="36"/>
    <tableColumn id="2" xr3:uid="{5F7DE1DA-AF07-46D6-8082-90DACD2AB1CC}" name="test_Set" dataDxfId="35"/>
    <tableColumn id="11" xr3:uid="{9429DF1C-B724-4050-9A19-AA01F711C9CE}" name="Train_Accuracy" dataDxfId="34"/>
    <tableColumn id="12" xr3:uid="{99A71287-76BD-41F0-8EA1-6ECD276F6DD3}" name="test_Accuracy" dataDxfId="33"/>
    <tableColumn id="13" xr3:uid="{7770540C-9588-4E67-8156-D9ED7970F59B}" name="Precision(Top_Artists)" dataDxfId="32"/>
    <tableColumn id="14" xr3:uid="{74FBF0FE-7E63-4E93-917C-4D673BC7D7E1}" name="Precision(Low_Artists)" dataDxfId="31"/>
    <tableColumn id="15" xr3:uid="{454B48C0-C828-48B1-8624-4EB84D43F704}" name="Recall(Top_Artists)" dataDxfId="30"/>
    <tableColumn id="16" xr3:uid="{7C6C8ADE-B906-4A7A-8D4D-DAFD7097C7B8}" name="Recall(Low_Artists)" dataDxfId="29"/>
    <tableColumn id="17" xr3:uid="{40F2BF59-CA93-4292-A7DD-1DDE61E30D3F}" name="F1(Top_Artists)" dataDxfId="28"/>
    <tableColumn id="18" xr3:uid="{DE1CC58D-7C4E-422C-B18D-3D1B2B941D56}" name="F1(Low_Artists)" dataDxfId="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904E51-0CB6-B140-AFC2-EBE1179AC4C1}" name="Table4" displayName="Table4" ref="A1:J6" totalsRowShown="0" headerRowDxfId="0" dataDxfId="14" headerRowBorderDxfId="12" tableBorderDxfId="13" totalsRowBorderDxfId="11">
  <autoFilter ref="A1:J6" xr:uid="{B8904E51-0CB6-B140-AFC2-EBE1179AC4C1}"/>
  <tableColumns count="10">
    <tableColumn id="1" xr3:uid="{21322C9F-15DB-7B4B-AC29-88832A9A1329}" name="Rank" dataDxfId="10"/>
    <tableColumn id="2" xr3:uid="{D48233F2-ACD5-C648-9739-98EA7C841C73}" name="Model" dataDxfId="9"/>
    <tableColumn id="3" xr3:uid="{1134E1E1-0A8B-A042-940B-818C8A7DE606}" name="test_Set" dataDxfId="8"/>
    <tableColumn id="4" xr3:uid="{1605550F-C127-1D4E-A1D2-DBB4FF48A7F7}" name="Test Accuracy" dataDxfId="7"/>
    <tableColumn id="5" xr3:uid="{0B897172-9DB4-E94A-919B-4EBCE68E46E4}" name="F1 (Top)" dataDxfId="6"/>
    <tableColumn id="6" xr3:uid="{7539D5A0-5D21-D545-846A-C2874A559A4C}" name="F1 (Low)" dataDxfId="5"/>
    <tableColumn id="7" xr3:uid="{4668EB6C-019B-B341-B358-1C51AC365BFC}" name="Precision (Top)" dataDxfId="4"/>
    <tableColumn id="8" xr3:uid="{B01D5596-63DC-3648-8B0B-E10958C70D32}" name="Precision (Low)" dataDxfId="3"/>
    <tableColumn id="9" xr3:uid="{BE4B7475-C19E-6E49-94B7-A115DEC11B7B}" name="Recall (Top)" dataDxfId="2"/>
    <tableColumn id="10" xr3:uid="{FC431555-E075-C842-B083-EB6FCE1C981C}" name="Recall (Low)" dataDxfId="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workbookViewId="0">
      <pane ySplit="1" topLeftCell="A2" activePane="bottomLeft" state="frozen"/>
      <selection pane="bottomLeft" activeCell="H28" sqref="H28"/>
    </sheetView>
  </sheetViews>
  <sheetFormatPr baseColWidth="10" defaultColWidth="8.83203125" defaultRowHeight="15" x14ac:dyDescent="0.2"/>
  <cols>
    <col min="1" max="1" width="12.33203125" bestFit="1" customWidth="1"/>
    <col min="2" max="2" width="11.5" bestFit="1" customWidth="1"/>
    <col min="3" max="3" width="14.6640625" bestFit="1" customWidth="1"/>
    <col min="4" max="4" width="15.6640625" bestFit="1" customWidth="1"/>
    <col min="5" max="5" width="16.5" bestFit="1" customWidth="1"/>
    <col min="6" max="6" width="15.5" bestFit="1" customWidth="1"/>
    <col min="7" max="7" width="19.6640625" bestFit="1" customWidth="1"/>
    <col min="8" max="8" width="20.33203125" bestFit="1" customWidth="1"/>
    <col min="9" max="9" width="16.6640625" bestFit="1" customWidth="1"/>
    <col min="10" max="11" width="17.1640625" bestFit="1" customWidth="1"/>
    <col min="12" max="12" width="16.1640625" bestFit="1" customWidth="1"/>
    <col min="13" max="13" width="23.33203125" bestFit="1" customWidth="1"/>
    <col min="14" max="14" width="23.5" bestFit="1" customWidth="1"/>
    <col min="15" max="15" width="20.5" bestFit="1" customWidth="1"/>
    <col min="16" max="16" width="20.83203125" bestFit="1" customWidth="1"/>
    <col min="17" max="17" width="16.83203125" bestFit="1" customWidth="1"/>
    <col min="18" max="18" width="17.1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21</v>
      </c>
      <c r="B2" s="1">
        <v>0.3</v>
      </c>
      <c r="C2" s="1">
        <v>30</v>
      </c>
      <c r="D2" s="1">
        <v>778</v>
      </c>
      <c r="E2" s="1">
        <v>56</v>
      </c>
      <c r="F2" s="1">
        <v>747</v>
      </c>
      <c r="G2" s="1">
        <f>SUM(C2,D2)</f>
        <v>808</v>
      </c>
      <c r="H2" s="1">
        <f>SUM(E2,F2)</f>
        <v>803</v>
      </c>
      <c r="I2" s="1">
        <f>SUM(C2,E2)</f>
        <v>86</v>
      </c>
      <c r="J2" s="1">
        <f>SUM(D2,F2)</f>
        <v>1525</v>
      </c>
      <c r="K2" s="1">
        <v>0.50724637681159401</v>
      </c>
      <c r="L2" s="1">
        <v>0.48230912476722498</v>
      </c>
      <c r="M2" s="1">
        <v>0.34883720930232498</v>
      </c>
      <c r="N2" s="1">
        <v>0.48983606557377002</v>
      </c>
      <c r="O2" s="1">
        <v>3.7128712871287099E-2</v>
      </c>
      <c r="P2" s="1">
        <v>0.93026151930261503</v>
      </c>
      <c r="Q2" s="1">
        <v>6.7114093959731502E-2</v>
      </c>
      <c r="R2" s="1">
        <v>0.64175257731958701</v>
      </c>
    </row>
    <row r="3" spans="1:18" x14ac:dyDescent="0.2">
      <c r="A3" s="1" t="s">
        <v>21</v>
      </c>
      <c r="B3" s="1">
        <v>0.6</v>
      </c>
      <c r="C3" s="1">
        <v>78</v>
      </c>
      <c r="D3" s="1">
        <v>381</v>
      </c>
      <c r="E3" s="1">
        <v>35</v>
      </c>
      <c r="F3" s="1">
        <v>426</v>
      </c>
      <c r="G3" s="1">
        <f>SUM(C3,D3)</f>
        <v>459</v>
      </c>
      <c r="H3" s="1">
        <f>SUM(E3,F3)</f>
        <v>461</v>
      </c>
      <c r="I3" s="1">
        <f>SUM(C3,E3)</f>
        <v>113</v>
      </c>
      <c r="J3" s="1">
        <f>SUM(D3,F3)</f>
        <v>807</v>
      </c>
      <c r="K3" s="1">
        <v>0.56987690079652398</v>
      </c>
      <c r="L3" s="1">
        <v>0.54782608695652102</v>
      </c>
      <c r="M3" s="1">
        <v>0.69026548672566301</v>
      </c>
      <c r="N3" s="1">
        <v>0.52788104089219301</v>
      </c>
      <c r="O3" s="1">
        <v>0.16993464052287499</v>
      </c>
      <c r="P3" s="1">
        <v>0.92407809110629002</v>
      </c>
      <c r="Q3" s="1">
        <v>0.27272727272727199</v>
      </c>
      <c r="R3" s="1">
        <v>0.67192429022082001</v>
      </c>
    </row>
    <row r="4" spans="1:18" x14ac:dyDescent="0.2">
      <c r="A4" s="1" t="s">
        <v>21</v>
      </c>
      <c r="B4" s="1">
        <v>0.1</v>
      </c>
      <c r="C4" s="1">
        <v>987</v>
      </c>
      <c r="D4" s="1">
        <v>45</v>
      </c>
      <c r="E4" s="1">
        <v>890</v>
      </c>
      <c r="F4" s="1">
        <v>149</v>
      </c>
      <c r="G4" s="1">
        <f>SUM(C4,D4)</f>
        <v>1032</v>
      </c>
      <c r="H4" s="1">
        <f>SUM(E4,F4)</f>
        <v>1039</v>
      </c>
      <c r="I4" s="1">
        <f>SUM(C4,E4)</f>
        <v>1877</v>
      </c>
      <c r="J4" s="1">
        <f>SUM(D4,F4)</f>
        <v>194</v>
      </c>
      <c r="K4" s="1">
        <v>0.6</v>
      </c>
      <c r="L4" s="1">
        <v>0.54852728150651797</v>
      </c>
      <c r="M4" s="1">
        <v>0.52583910495471498</v>
      </c>
      <c r="N4" s="1">
        <v>0.768041237113402</v>
      </c>
      <c r="O4" s="1">
        <v>0.956395348837209</v>
      </c>
      <c r="P4" s="1">
        <v>0.14340712223291599</v>
      </c>
      <c r="Q4" s="1">
        <v>0.67858370574080396</v>
      </c>
      <c r="R4" s="1">
        <v>0.241686942416869</v>
      </c>
    </row>
    <row r="5" spans="1:18" x14ac:dyDescent="0.2">
      <c r="A5" s="1" t="s">
        <v>18</v>
      </c>
      <c r="B5" s="1">
        <v>0.1</v>
      </c>
      <c r="C5" s="1">
        <v>474</v>
      </c>
      <c r="D5" s="1">
        <v>553</v>
      </c>
      <c r="E5" s="1">
        <v>363</v>
      </c>
      <c r="F5" s="1">
        <v>681</v>
      </c>
      <c r="G5" s="1">
        <f>SUM(C5,D5)</f>
        <v>1027</v>
      </c>
      <c r="H5" s="1">
        <f>SUM(E5,F5)</f>
        <v>1044</v>
      </c>
      <c r="I5" s="1">
        <f>SUM(C5,E5)</f>
        <v>837</v>
      </c>
      <c r="J5" s="1">
        <f>SUM(D5,F5)</f>
        <v>1234</v>
      </c>
      <c r="K5" s="1">
        <v>0.78260869565217395</v>
      </c>
      <c r="L5" s="1">
        <v>0.55770159343312398</v>
      </c>
      <c r="M5" s="1">
        <v>0.56630824372759803</v>
      </c>
      <c r="N5" s="1">
        <v>0.55186385737439203</v>
      </c>
      <c r="O5" s="1">
        <v>0.46153846153846101</v>
      </c>
      <c r="P5" s="1">
        <v>0.65229885057471204</v>
      </c>
      <c r="Q5" s="1">
        <v>0.50858369098712397</v>
      </c>
      <c r="R5" s="1">
        <v>0.59789288849868305</v>
      </c>
    </row>
    <row r="6" spans="1:18" x14ac:dyDescent="0.2">
      <c r="A6" s="1" t="s">
        <v>21</v>
      </c>
      <c r="B6" s="1">
        <v>0.95</v>
      </c>
      <c r="C6" s="1">
        <v>60</v>
      </c>
      <c r="D6" s="1">
        <v>2</v>
      </c>
      <c r="E6" s="1">
        <v>48</v>
      </c>
      <c r="F6" s="1">
        <v>5</v>
      </c>
      <c r="G6" s="1">
        <f>SUM(C6,D6)</f>
        <v>62</v>
      </c>
      <c r="H6" s="1">
        <f>SUM(E6,F6)</f>
        <v>53</v>
      </c>
      <c r="I6" s="1">
        <f>SUM(C6,E6)</f>
        <v>108</v>
      </c>
      <c r="J6" s="1">
        <f>SUM(D6,F6)</f>
        <v>7</v>
      </c>
      <c r="K6" s="1">
        <v>0.54071363220493995</v>
      </c>
      <c r="L6" s="1">
        <v>0.56521739130434701</v>
      </c>
      <c r="M6" s="1">
        <v>0.55555555555555503</v>
      </c>
      <c r="N6" s="1">
        <v>0.71428571428571397</v>
      </c>
      <c r="O6" s="1">
        <v>0.967741935483871</v>
      </c>
      <c r="P6" s="1">
        <v>9.4339622641509399E-2</v>
      </c>
      <c r="Q6" s="1">
        <v>0.70588235294117596</v>
      </c>
      <c r="R6" s="1">
        <v>0.16666666666666599</v>
      </c>
    </row>
    <row r="7" spans="1:18" x14ac:dyDescent="0.2">
      <c r="A7" s="1" t="s">
        <v>21</v>
      </c>
      <c r="B7" s="1">
        <v>0.7</v>
      </c>
      <c r="C7" s="1">
        <v>312</v>
      </c>
      <c r="D7" s="1">
        <v>24</v>
      </c>
      <c r="E7" s="1">
        <v>265</v>
      </c>
      <c r="F7" s="1">
        <v>89</v>
      </c>
      <c r="G7" s="1">
        <f>SUM(C7,D7)</f>
        <v>336</v>
      </c>
      <c r="H7" s="1">
        <f>SUM(E7,F7)</f>
        <v>354</v>
      </c>
      <c r="I7" s="1">
        <f>SUM(C7,E7)</f>
        <v>577</v>
      </c>
      <c r="J7" s="1">
        <f>SUM(D7,F7)</f>
        <v>113</v>
      </c>
      <c r="K7" s="1">
        <v>0.646182495344506</v>
      </c>
      <c r="L7" s="1">
        <v>0.58115942028985501</v>
      </c>
      <c r="M7" s="1">
        <v>0.54072790294627304</v>
      </c>
      <c r="N7" s="1">
        <v>0.787610619469026</v>
      </c>
      <c r="O7" s="1">
        <v>0.92857142857142805</v>
      </c>
      <c r="P7" s="1">
        <v>0.25141242937853098</v>
      </c>
      <c r="Q7" s="1">
        <v>0.68346111719605596</v>
      </c>
      <c r="R7" s="1">
        <v>0.38115631691648799</v>
      </c>
    </row>
    <row r="8" spans="1:18" x14ac:dyDescent="0.2">
      <c r="A8" s="1" t="s">
        <v>21</v>
      </c>
      <c r="B8" s="1">
        <v>0.8</v>
      </c>
      <c r="C8" s="1">
        <v>51</v>
      </c>
      <c r="D8" s="1">
        <v>168</v>
      </c>
      <c r="E8" s="1">
        <v>22</v>
      </c>
      <c r="F8" s="1">
        <v>219</v>
      </c>
      <c r="G8" s="1">
        <f>SUM(C8,D8)</f>
        <v>219</v>
      </c>
      <c r="H8" s="1">
        <f>SUM(E8,F8)</f>
        <v>241</v>
      </c>
      <c r="I8" s="1">
        <f>SUM(C8,E8)</f>
        <v>73</v>
      </c>
      <c r="J8" s="1">
        <f>SUM(D8,F8)</f>
        <v>387</v>
      </c>
      <c r="K8" s="1">
        <v>0.60510592069527402</v>
      </c>
      <c r="L8" s="1">
        <v>0.58695652173913004</v>
      </c>
      <c r="M8" s="1">
        <v>0.69863013698630105</v>
      </c>
      <c r="N8" s="1">
        <v>0.56589147286821695</v>
      </c>
      <c r="O8" s="1">
        <v>0.232876712328767</v>
      </c>
      <c r="P8" s="1">
        <v>0.90871369294605797</v>
      </c>
      <c r="Q8" s="1">
        <v>0.34931506849315003</v>
      </c>
      <c r="R8" s="1">
        <v>0.69745222929936301</v>
      </c>
    </row>
    <row r="9" spans="1:18" x14ac:dyDescent="0.2">
      <c r="A9" s="1" t="s">
        <v>21</v>
      </c>
      <c r="B9" s="1">
        <v>0.2</v>
      </c>
      <c r="C9" s="1">
        <v>409</v>
      </c>
      <c r="D9" s="1">
        <v>510</v>
      </c>
      <c r="E9" s="1">
        <v>228</v>
      </c>
      <c r="F9" s="1">
        <v>694</v>
      </c>
      <c r="G9" s="1">
        <f>SUM(C9,D9)</f>
        <v>919</v>
      </c>
      <c r="H9" s="1">
        <f>SUM(E9,F9)</f>
        <v>922</v>
      </c>
      <c r="I9" s="1">
        <f>SUM(C9,E9)</f>
        <v>637</v>
      </c>
      <c r="J9" s="1">
        <f>SUM(D9,F9)</f>
        <v>1204</v>
      </c>
      <c r="K9" s="1">
        <v>0.72608695652173905</v>
      </c>
      <c r="L9" s="1">
        <v>0.59913090711569705</v>
      </c>
      <c r="M9" s="1">
        <v>0.64207221350078403</v>
      </c>
      <c r="N9" s="1">
        <v>0.57641196013288998</v>
      </c>
      <c r="O9" s="1">
        <v>0.44504896626768198</v>
      </c>
      <c r="P9" s="1">
        <v>0.75271149674620297</v>
      </c>
      <c r="Q9" s="1">
        <v>0.52570694087403502</v>
      </c>
      <c r="R9" s="1">
        <v>0.652869238005644</v>
      </c>
    </row>
    <row r="10" spans="1:18" x14ac:dyDescent="0.2">
      <c r="A10" s="1" t="s">
        <v>18</v>
      </c>
      <c r="B10" s="1">
        <v>0.7</v>
      </c>
      <c r="C10" s="1">
        <v>288</v>
      </c>
      <c r="D10" s="1">
        <v>61</v>
      </c>
      <c r="E10" s="1">
        <v>211</v>
      </c>
      <c r="F10" s="1">
        <v>130</v>
      </c>
      <c r="G10" s="1">
        <f>SUM(C10,D10)</f>
        <v>349</v>
      </c>
      <c r="H10" s="1">
        <f>SUM(E10,F10)</f>
        <v>341</v>
      </c>
      <c r="I10" s="1">
        <f>SUM(C10,E10)</f>
        <v>499</v>
      </c>
      <c r="J10" s="1">
        <f>SUM(D10,F10)</f>
        <v>191</v>
      </c>
      <c r="K10" s="1">
        <v>0.65611421477343201</v>
      </c>
      <c r="L10" s="1">
        <v>0.60579710144927501</v>
      </c>
      <c r="M10" s="1">
        <v>0.57715430861723405</v>
      </c>
      <c r="N10" s="1">
        <v>0.68062827225130895</v>
      </c>
      <c r="O10" s="1">
        <v>0.82521489971346695</v>
      </c>
      <c r="P10" s="1">
        <v>0.38123167155425203</v>
      </c>
      <c r="Q10" s="1">
        <v>0.679245283018867</v>
      </c>
      <c r="R10" s="1">
        <v>0.488721804511278</v>
      </c>
    </row>
    <row r="11" spans="1:18" x14ac:dyDescent="0.2">
      <c r="A11" s="1" t="s">
        <v>18</v>
      </c>
      <c r="B11" s="1">
        <v>0.4</v>
      </c>
      <c r="C11" s="1">
        <v>225</v>
      </c>
      <c r="D11" s="1">
        <v>477</v>
      </c>
      <c r="E11" s="1">
        <v>58</v>
      </c>
      <c r="F11" s="1">
        <v>621</v>
      </c>
      <c r="G11" s="1">
        <f>SUM(C11,D11)</f>
        <v>702</v>
      </c>
      <c r="H11" s="1">
        <f>SUM(E11,F11)</f>
        <v>679</v>
      </c>
      <c r="I11" s="1">
        <f>SUM(C11,E11)</f>
        <v>283</v>
      </c>
      <c r="J11" s="1">
        <f>SUM(D11,F11)</f>
        <v>1098</v>
      </c>
      <c r="K11" s="1">
        <v>0.67282608695652102</v>
      </c>
      <c r="L11" s="1">
        <v>0.61259956553222294</v>
      </c>
      <c r="M11" s="1">
        <v>0.795053003533568</v>
      </c>
      <c r="N11" s="1">
        <v>0.56557377049180302</v>
      </c>
      <c r="O11" s="1">
        <v>0.32051282051281998</v>
      </c>
      <c r="P11" s="1">
        <v>0.91458026509572898</v>
      </c>
      <c r="Q11" s="1">
        <v>0.45685279187817202</v>
      </c>
      <c r="R11" s="1">
        <v>0.69893078221721905</v>
      </c>
    </row>
    <row r="12" spans="1:18" x14ac:dyDescent="0.2">
      <c r="A12" s="1" t="s">
        <v>18</v>
      </c>
      <c r="B12" s="1">
        <v>0.3</v>
      </c>
      <c r="C12" s="1">
        <v>277</v>
      </c>
      <c r="D12" s="1">
        <v>537</v>
      </c>
      <c r="E12" s="1">
        <v>72</v>
      </c>
      <c r="F12" s="1">
        <v>725</v>
      </c>
      <c r="G12" s="1">
        <f>SUM(C12,D12)</f>
        <v>814</v>
      </c>
      <c r="H12" s="1">
        <f>SUM(E12,F12)</f>
        <v>797</v>
      </c>
      <c r="I12" s="1">
        <f>SUM(C12,E12)</f>
        <v>349</v>
      </c>
      <c r="J12" s="1">
        <f>SUM(D12,F12)</f>
        <v>1262</v>
      </c>
      <c r="K12" s="1">
        <v>0.70289855072463703</v>
      </c>
      <c r="L12" s="1">
        <v>0.62197392923649897</v>
      </c>
      <c r="M12" s="1">
        <v>0.79369627507163298</v>
      </c>
      <c r="N12" s="1">
        <v>0.574484944532488</v>
      </c>
      <c r="O12" s="1">
        <v>0.34029484029483997</v>
      </c>
      <c r="P12" s="1">
        <v>0.90966122961104101</v>
      </c>
      <c r="Q12" s="1">
        <v>0.476354256233877</v>
      </c>
      <c r="R12" s="1">
        <v>0.70422535211267601</v>
      </c>
    </row>
    <row r="13" spans="1:18" x14ac:dyDescent="0.2">
      <c r="A13" s="1" t="s">
        <v>19</v>
      </c>
      <c r="B13" s="1">
        <v>0.1</v>
      </c>
      <c r="C13" s="1">
        <v>577</v>
      </c>
      <c r="D13" s="1">
        <v>454</v>
      </c>
      <c r="E13" s="1">
        <v>321</v>
      </c>
      <c r="F13" s="1">
        <v>719</v>
      </c>
      <c r="G13" s="1">
        <f>SUM(C13,D13)</f>
        <v>1031</v>
      </c>
      <c r="H13" s="1">
        <f>SUM(E13,F13)</f>
        <v>1040</v>
      </c>
      <c r="I13" s="1">
        <f>SUM(C13,E13)</f>
        <v>898</v>
      </c>
      <c r="J13" s="1">
        <f>SUM(D13,F13)</f>
        <v>1173</v>
      </c>
      <c r="K13" s="1">
        <v>1</v>
      </c>
      <c r="L13" s="1">
        <v>0.62578464509898601</v>
      </c>
      <c r="M13" s="1">
        <v>0.64253897550111305</v>
      </c>
      <c r="N13" s="1">
        <v>0.61295822676896805</v>
      </c>
      <c r="O13" s="1">
        <v>0.55965082444228897</v>
      </c>
      <c r="P13" s="1">
        <v>0.69134615384615306</v>
      </c>
      <c r="Q13" s="1">
        <v>0.598237428719543</v>
      </c>
      <c r="R13" s="1">
        <v>0.64979665612291004</v>
      </c>
    </row>
    <row r="14" spans="1:18" x14ac:dyDescent="0.2">
      <c r="A14" s="1" t="s">
        <v>18</v>
      </c>
      <c r="B14" s="1">
        <v>0.2</v>
      </c>
      <c r="C14" s="1">
        <v>391</v>
      </c>
      <c r="D14" s="1">
        <v>536</v>
      </c>
      <c r="E14" s="1">
        <v>151</v>
      </c>
      <c r="F14" s="1">
        <v>763</v>
      </c>
      <c r="G14" s="1">
        <f>SUM(C14,D14)</f>
        <v>927</v>
      </c>
      <c r="H14" s="1">
        <f>SUM(E14,F14)</f>
        <v>914</v>
      </c>
      <c r="I14" s="1">
        <f>SUM(C14,E14)</f>
        <v>542</v>
      </c>
      <c r="J14" s="1">
        <f>SUM(D14,F14)</f>
        <v>1299</v>
      </c>
      <c r="K14" s="1">
        <v>0.73260869565217301</v>
      </c>
      <c r="L14" s="1">
        <v>0.62683324280282404</v>
      </c>
      <c r="M14" s="1">
        <v>0.72140221402214</v>
      </c>
      <c r="N14" s="1">
        <v>0.58737490377213197</v>
      </c>
      <c r="O14" s="1">
        <v>0.42179072276159602</v>
      </c>
      <c r="P14" s="1">
        <v>0.83479212253829305</v>
      </c>
      <c r="Q14" s="1">
        <v>0.53233492171545205</v>
      </c>
      <c r="R14" s="1">
        <v>0.68956168097604997</v>
      </c>
    </row>
    <row r="15" spans="1:18" x14ac:dyDescent="0.2">
      <c r="A15" s="1" t="s">
        <v>21</v>
      </c>
      <c r="B15" s="1">
        <v>0.5</v>
      </c>
      <c r="C15" s="1">
        <v>307</v>
      </c>
      <c r="D15" s="1">
        <v>269</v>
      </c>
      <c r="E15" s="1">
        <v>151</v>
      </c>
      <c r="F15" s="1">
        <v>424</v>
      </c>
      <c r="G15" s="1">
        <f>SUM(C15,D15)</f>
        <v>576</v>
      </c>
      <c r="H15" s="1">
        <f>SUM(E15,F15)</f>
        <v>575</v>
      </c>
      <c r="I15" s="1">
        <f>SUM(C15,E15)</f>
        <v>458</v>
      </c>
      <c r="J15" s="1">
        <f>SUM(D15,F15)</f>
        <v>693</v>
      </c>
      <c r="K15" s="1">
        <v>0.694782608695652</v>
      </c>
      <c r="L15" s="1">
        <v>0.63509991311902603</v>
      </c>
      <c r="M15" s="1">
        <v>0.67030567685589504</v>
      </c>
      <c r="N15" s="1">
        <v>0.61183261183261095</v>
      </c>
      <c r="O15" s="1">
        <v>0.53298611111111105</v>
      </c>
      <c r="P15" s="1">
        <v>0.73739130434782596</v>
      </c>
      <c r="Q15" s="1">
        <v>0.59381044487427403</v>
      </c>
      <c r="R15" s="1">
        <v>0.66876971608832803</v>
      </c>
    </row>
    <row r="16" spans="1:18" x14ac:dyDescent="0.2">
      <c r="A16" s="1" t="s">
        <v>20</v>
      </c>
      <c r="B16" s="1">
        <v>0.1</v>
      </c>
      <c r="C16" s="1">
        <v>897</v>
      </c>
      <c r="D16" s="1">
        <v>138</v>
      </c>
      <c r="E16" s="1">
        <v>617</v>
      </c>
      <c r="F16" s="1">
        <v>419</v>
      </c>
      <c r="G16" s="1">
        <f>SUM(C16,D16)</f>
        <v>1035</v>
      </c>
      <c r="H16" s="1">
        <f>SUM(E16,F16)</f>
        <v>1036</v>
      </c>
      <c r="I16" s="1">
        <f>SUM(C16,E16)</f>
        <v>1514</v>
      </c>
      <c r="J16" s="1">
        <f>SUM(D16,F16)</f>
        <v>557</v>
      </c>
      <c r="K16" s="1">
        <v>0.96956521739130397</v>
      </c>
      <c r="L16" s="1">
        <v>0.63544181554804402</v>
      </c>
      <c r="M16" s="1">
        <v>0.59247027741083202</v>
      </c>
      <c r="N16" s="1">
        <v>0.75224416517055603</v>
      </c>
      <c r="O16" s="1">
        <v>0.86666666666666603</v>
      </c>
      <c r="P16" s="1">
        <v>0.40444015444015402</v>
      </c>
      <c r="Q16" s="1">
        <v>0.70380541388779905</v>
      </c>
      <c r="R16" s="1">
        <v>0.52605147520401696</v>
      </c>
    </row>
    <row r="17" spans="1:18" x14ac:dyDescent="0.2">
      <c r="A17" s="1" t="s">
        <v>19</v>
      </c>
      <c r="B17" s="1">
        <v>0.2</v>
      </c>
      <c r="C17" s="1">
        <v>604</v>
      </c>
      <c r="D17" s="1">
        <v>317</v>
      </c>
      <c r="E17" s="1">
        <v>339</v>
      </c>
      <c r="F17" s="1">
        <v>581</v>
      </c>
      <c r="G17" s="1">
        <f>SUM(C17,D17)</f>
        <v>921</v>
      </c>
      <c r="H17" s="1">
        <f>SUM(E17,F17)</f>
        <v>920</v>
      </c>
      <c r="I17" s="1">
        <f>SUM(C17,E17)</f>
        <v>943</v>
      </c>
      <c r="J17" s="1">
        <f>SUM(D17,F17)</f>
        <v>898</v>
      </c>
      <c r="K17" s="1">
        <v>1</v>
      </c>
      <c r="L17" s="1">
        <v>0.64367191743617602</v>
      </c>
      <c r="M17" s="1">
        <v>0.64050901378578995</v>
      </c>
      <c r="N17" s="1">
        <v>0.64699331848552299</v>
      </c>
      <c r="O17" s="1">
        <v>0.65580890336590603</v>
      </c>
      <c r="P17" s="1">
        <v>0.63152173913043397</v>
      </c>
      <c r="Q17" s="1">
        <v>0.64806866952789</v>
      </c>
      <c r="R17" s="1">
        <v>0.63916391639163905</v>
      </c>
    </row>
    <row r="18" spans="1:18" x14ac:dyDescent="0.2">
      <c r="A18" s="1" t="s">
        <v>18</v>
      </c>
      <c r="B18" s="1">
        <v>0.9</v>
      </c>
      <c r="C18" s="1">
        <v>60</v>
      </c>
      <c r="D18" s="1">
        <v>48</v>
      </c>
      <c r="E18" s="1">
        <v>33</v>
      </c>
      <c r="F18" s="1">
        <v>89</v>
      </c>
      <c r="G18" s="1">
        <f>SUM(C18,D18)</f>
        <v>108</v>
      </c>
      <c r="H18" s="1">
        <f>SUM(E18,F18)</f>
        <v>122</v>
      </c>
      <c r="I18" s="1">
        <f>SUM(C18,E18)</f>
        <v>93</v>
      </c>
      <c r="J18" s="1">
        <f>SUM(D18,F18)</f>
        <v>137</v>
      </c>
      <c r="K18" s="1">
        <v>0.697768762677484</v>
      </c>
      <c r="L18" s="1">
        <v>0.647826086956521</v>
      </c>
      <c r="M18" s="1">
        <v>0.64516129032257996</v>
      </c>
      <c r="N18" s="1">
        <v>0.64963503649635002</v>
      </c>
      <c r="O18" s="1">
        <v>0.55555555555555503</v>
      </c>
      <c r="P18" s="1">
        <v>0.72950819672131095</v>
      </c>
      <c r="Q18" s="1">
        <v>0.59701492537313405</v>
      </c>
      <c r="R18" s="1">
        <v>0.687258687258687</v>
      </c>
    </row>
    <row r="19" spans="1:18" x14ac:dyDescent="0.2">
      <c r="A19" s="1" t="s">
        <v>20</v>
      </c>
      <c r="B19" s="1">
        <v>0.2</v>
      </c>
      <c r="C19" s="1">
        <v>815</v>
      </c>
      <c r="D19" s="1">
        <v>105</v>
      </c>
      <c r="E19" s="1">
        <v>537</v>
      </c>
      <c r="F19" s="1">
        <v>384</v>
      </c>
      <c r="G19" s="1">
        <f>SUM(C19,D19)</f>
        <v>920</v>
      </c>
      <c r="H19" s="1">
        <f>SUM(E19,F19)</f>
        <v>921</v>
      </c>
      <c r="I19" s="1">
        <f>SUM(C19,E19)</f>
        <v>1352</v>
      </c>
      <c r="J19" s="1">
        <f>SUM(D19,F19)</f>
        <v>489</v>
      </c>
      <c r="K19" s="1">
        <v>0.963043478260869</v>
      </c>
      <c r="L19" s="1">
        <v>0.65127648017381801</v>
      </c>
      <c r="M19" s="1">
        <v>0.60281065088757402</v>
      </c>
      <c r="N19" s="1">
        <v>0.78527607361963103</v>
      </c>
      <c r="O19" s="1">
        <v>0.88586956521739102</v>
      </c>
      <c r="P19" s="1">
        <v>0.41693811074918502</v>
      </c>
      <c r="Q19" s="1">
        <v>0.71742957746478797</v>
      </c>
      <c r="R19" s="1">
        <v>0.54468085106382902</v>
      </c>
    </row>
    <row r="20" spans="1:18" x14ac:dyDescent="0.2">
      <c r="A20" s="1" t="s">
        <v>19</v>
      </c>
      <c r="B20" s="1">
        <v>0.3</v>
      </c>
      <c r="C20" s="1">
        <v>478</v>
      </c>
      <c r="D20" s="1">
        <v>338</v>
      </c>
      <c r="E20" s="1">
        <v>223</v>
      </c>
      <c r="F20" s="1">
        <v>572</v>
      </c>
      <c r="G20" s="1">
        <f>SUM(C20,D20)</f>
        <v>816</v>
      </c>
      <c r="H20" s="1">
        <f>SUM(E20,F20)</f>
        <v>795</v>
      </c>
      <c r="I20" s="1">
        <f>SUM(C20,E20)</f>
        <v>701</v>
      </c>
      <c r="J20" s="1">
        <f>SUM(D20,F20)</f>
        <v>910</v>
      </c>
      <c r="K20" s="1">
        <v>0.99855072463768102</v>
      </c>
      <c r="L20" s="1">
        <v>0.651769087523277</v>
      </c>
      <c r="M20" s="1">
        <v>0.68188302425106995</v>
      </c>
      <c r="N20" s="1">
        <v>0.628571428571428</v>
      </c>
      <c r="O20" s="1">
        <v>0.58578431372549</v>
      </c>
      <c r="P20" s="1">
        <v>0.71949685534591101</v>
      </c>
      <c r="Q20" s="1">
        <v>0.63019116677653197</v>
      </c>
      <c r="R20" s="1">
        <v>0.67096774193548303</v>
      </c>
    </row>
    <row r="21" spans="1:18" x14ac:dyDescent="0.2">
      <c r="A21" s="1" t="s">
        <v>21</v>
      </c>
      <c r="B21" s="1">
        <v>0.9</v>
      </c>
      <c r="C21" s="1">
        <v>49</v>
      </c>
      <c r="D21" s="1">
        <v>65</v>
      </c>
      <c r="E21" s="1">
        <v>14</v>
      </c>
      <c r="F21" s="1">
        <v>102</v>
      </c>
      <c r="G21" s="1">
        <f>SUM(C21,D21)</f>
        <v>114</v>
      </c>
      <c r="H21" s="1">
        <f>SUM(E21,F21)</f>
        <v>116</v>
      </c>
      <c r="I21" s="1">
        <f>SUM(C21,E21)</f>
        <v>63</v>
      </c>
      <c r="J21" s="1">
        <f>SUM(D21,F21)</f>
        <v>167</v>
      </c>
      <c r="K21" s="1">
        <v>0.66537904394012504</v>
      </c>
      <c r="L21" s="1">
        <v>0.65652173913043399</v>
      </c>
      <c r="M21" s="1">
        <v>0.77777777777777701</v>
      </c>
      <c r="N21" s="1">
        <v>0.61077844311377205</v>
      </c>
      <c r="O21" s="1">
        <v>0.429824561403508</v>
      </c>
      <c r="P21" s="1">
        <v>0.87931034482758597</v>
      </c>
      <c r="Q21" s="1">
        <v>0.55367231638418002</v>
      </c>
      <c r="R21" s="1">
        <v>0.72084805653710204</v>
      </c>
    </row>
    <row r="22" spans="1:18" x14ac:dyDescent="0.2">
      <c r="A22" s="1" t="s">
        <v>21</v>
      </c>
      <c r="B22" s="1">
        <v>0.4</v>
      </c>
      <c r="C22" s="1">
        <v>502</v>
      </c>
      <c r="D22" s="1">
        <v>182</v>
      </c>
      <c r="E22" s="1">
        <v>287</v>
      </c>
      <c r="F22" s="1">
        <v>410</v>
      </c>
      <c r="G22" s="1">
        <f>SUM(C22,D22)</f>
        <v>684</v>
      </c>
      <c r="H22" s="1">
        <f>SUM(E22,F22)</f>
        <v>697</v>
      </c>
      <c r="I22" s="1">
        <f>SUM(C22,E22)</f>
        <v>789</v>
      </c>
      <c r="J22" s="1">
        <f>SUM(D22,F22)</f>
        <v>592</v>
      </c>
      <c r="K22" s="1">
        <v>0.71086956521739098</v>
      </c>
      <c r="L22" s="1">
        <v>0.66039102099927505</v>
      </c>
      <c r="M22" s="1">
        <v>0.63624841571609603</v>
      </c>
      <c r="N22" s="1">
        <v>0.69256756756756699</v>
      </c>
      <c r="O22" s="1">
        <v>0.73391812865496997</v>
      </c>
      <c r="P22" s="1">
        <v>0.58823529411764697</v>
      </c>
      <c r="Q22" s="1">
        <v>0.681602172437203</v>
      </c>
      <c r="R22" s="1">
        <v>0.63615205585725298</v>
      </c>
    </row>
    <row r="23" spans="1:18" x14ac:dyDescent="0.2">
      <c r="A23" s="1" t="s">
        <v>18</v>
      </c>
      <c r="B23" s="1">
        <v>0.6</v>
      </c>
      <c r="C23" s="1">
        <v>264</v>
      </c>
      <c r="D23" s="1">
        <v>197</v>
      </c>
      <c r="E23" s="1">
        <v>111</v>
      </c>
      <c r="F23" s="1">
        <v>348</v>
      </c>
      <c r="G23" s="1">
        <f>SUM(C23,D23)</f>
        <v>461</v>
      </c>
      <c r="H23" s="1">
        <f>SUM(E23,F23)</f>
        <v>459</v>
      </c>
      <c r="I23" s="1">
        <f>SUM(C23,E23)</f>
        <v>375</v>
      </c>
      <c r="J23" s="1">
        <f>SUM(D23,F23)</f>
        <v>545</v>
      </c>
      <c r="K23" s="1">
        <v>0.69877551020408102</v>
      </c>
      <c r="L23" s="1">
        <v>0.66521739130434698</v>
      </c>
      <c r="M23" s="1">
        <v>0.70399999999999996</v>
      </c>
      <c r="N23" s="1">
        <v>0.63853211009174304</v>
      </c>
      <c r="O23" s="1">
        <v>0.57266811279826402</v>
      </c>
      <c r="P23" s="1">
        <v>0.75816993464052196</v>
      </c>
      <c r="Q23" s="1">
        <v>0.63157894736842102</v>
      </c>
      <c r="R23" s="1">
        <v>0.69322709163346596</v>
      </c>
    </row>
    <row r="24" spans="1:18" x14ac:dyDescent="0.2">
      <c r="A24" s="1" t="s">
        <v>19</v>
      </c>
      <c r="B24" s="1">
        <v>0.9</v>
      </c>
      <c r="C24" s="1">
        <v>67</v>
      </c>
      <c r="D24" s="1">
        <v>44</v>
      </c>
      <c r="E24" s="1">
        <v>33</v>
      </c>
      <c r="F24" s="1">
        <v>86</v>
      </c>
      <c r="G24" s="1">
        <f>SUM(C24,D24)</f>
        <v>111</v>
      </c>
      <c r="H24" s="1">
        <f>SUM(E24,F24)</f>
        <v>119</v>
      </c>
      <c r="I24" s="1">
        <f>SUM(C24,E24)</f>
        <v>100</v>
      </c>
      <c r="J24" s="1">
        <f>SUM(D24,F24)</f>
        <v>130</v>
      </c>
      <c r="K24" s="1">
        <v>0.74380165289256195</v>
      </c>
      <c r="L24" s="1">
        <v>0.66521739130434698</v>
      </c>
      <c r="M24" s="1">
        <v>0.67</v>
      </c>
      <c r="N24" s="1">
        <v>0.66153846153846096</v>
      </c>
      <c r="O24" s="1">
        <v>0.60360360360360299</v>
      </c>
      <c r="P24" s="1">
        <v>0.72268907563025198</v>
      </c>
      <c r="Q24" s="1">
        <v>0.63507109004739304</v>
      </c>
      <c r="R24" s="1">
        <v>0.69076305220883505</v>
      </c>
    </row>
    <row r="25" spans="1:18" x14ac:dyDescent="0.2">
      <c r="A25" s="1" t="s">
        <v>18</v>
      </c>
      <c r="B25" s="1">
        <v>0.8</v>
      </c>
      <c r="C25" s="1">
        <v>139</v>
      </c>
      <c r="D25" s="1">
        <v>87</v>
      </c>
      <c r="E25" s="1">
        <v>62</v>
      </c>
      <c r="F25" s="1">
        <v>172</v>
      </c>
      <c r="G25" s="1">
        <f>SUM(C25,D25)</f>
        <v>226</v>
      </c>
      <c r="H25" s="1">
        <f>SUM(E25,F25)</f>
        <v>234</v>
      </c>
      <c r="I25" s="1">
        <f>SUM(C25,E25)</f>
        <v>201</v>
      </c>
      <c r="J25" s="1">
        <f>SUM(D25,F25)</f>
        <v>259</v>
      </c>
      <c r="K25" s="1">
        <v>0.68821292775665399</v>
      </c>
      <c r="L25" s="1">
        <v>0.676086956521739</v>
      </c>
      <c r="M25" s="1">
        <v>0.691542288557213</v>
      </c>
      <c r="N25" s="1">
        <v>0.66409266409266399</v>
      </c>
      <c r="O25" s="1">
        <v>0.61504424778761002</v>
      </c>
      <c r="P25" s="1">
        <v>0.73504273504273498</v>
      </c>
      <c r="Q25" s="1">
        <v>0.65105386416861799</v>
      </c>
      <c r="R25" s="1">
        <v>0.697768762677484</v>
      </c>
    </row>
    <row r="26" spans="1:18" x14ac:dyDescent="0.2">
      <c r="A26" s="1" t="s">
        <v>19</v>
      </c>
      <c r="B26" s="1">
        <v>0.6</v>
      </c>
      <c r="C26" s="1">
        <v>310</v>
      </c>
      <c r="D26" s="1">
        <v>144</v>
      </c>
      <c r="E26" s="1">
        <v>153</v>
      </c>
      <c r="F26" s="1">
        <v>313</v>
      </c>
      <c r="G26" s="1">
        <f>SUM(C26,D26)</f>
        <v>454</v>
      </c>
      <c r="H26" s="1">
        <f>SUM(E26,F26)</f>
        <v>466</v>
      </c>
      <c r="I26" s="1">
        <f>SUM(C26,E26)</f>
        <v>463</v>
      </c>
      <c r="J26" s="1">
        <f>SUM(D26,F26)</f>
        <v>457</v>
      </c>
      <c r="K26" s="1">
        <v>0.73220338983050803</v>
      </c>
      <c r="L26" s="1">
        <v>0.67717391304347796</v>
      </c>
      <c r="M26" s="1">
        <v>0.66954643628509702</v>
      </c>
      <c r="N26" s="1">
        <v>0.68490153172866497</v>
      </c>
      <c r="O26" s="1">
        <v>0.68281938325991098</v>
      </c>
      <c r="P26" s="1">
        <v>0.67167381974248896</v>
      </c>
      <c r="Q26" s="1">
        <v>0.67611777535441597</v>
      </c>
      <c r="R26" s="1">
        <v>0.67822318526543801</v>
      </c>
    </row>
    <row r="27" spans="1:18" x14ac:dyDescent="0.2">
      <c r="A27" s="1" t="s">
        <v>18</v>
      </c>
      <c r="B27" s="1">
        <v>0.5</v>
      </c>
      <c r="C27" s="1">
        <v>354</v>
      </c>
      <c r="D27" s="1">
        <v>201</v>
      </c>
      <c r="E27" s="1">
        <v>168</v>
      </c>
      <c r="F27" s="1">
        <v>428</v>
      </c>
      <c r="G27" s="1">
        <f>SUM(C27,D27)</f>
        <v>555</v>
      </c>
      <c r="H27" s="1">
        <f>SUM(E27,F27)</f>
        <v>596</v>
      </c>
      <c r="I27" s="1">
        <f>SUM(C27,E27)</f>
        <v>522</v>
      </c>
      <c r="J27" s="1">
        <f>SUM(D27,F27)</f>
        <v>629</v>
      </c>
      <c r="K27" s="1">
        <v>0.713043478260869</v>
      </c>
      <c r="L27" s="1">
        <v>0.67940920938314497</v>
      </c>
      <c r="M27" s="1">
        <v>0.67816091954022895</v>
      </c>
      <c r="N27" s="1">
        <v>0.68044515103338599</v>
      </c>
      <c r="O27" s="1">
        <v>0.63783783783783699</v>
      </c>
      <c r="P27" s="1">
        <v>0.71812080536912704</v>
      </c>
      <c r="Q27" s="1">
        <v>0.65738161559888497</v>
      </c>
      <c r="R27" s="1">
        <v>0.69877551020408102</v>
      </c>
    </row>
    <row r="28" spans="1:18" x14ac:dyDescent="0.2">
      <c r="A28" s="1" t="s">
        <v>19</v>
      </c>
      <c r="B28" s="1">
        <v>0.4</v>
      </c>
      <c r="C28" s="1">
        <v>474</v>
      </c>
      <c r="D28" s="1">
        <v>223</v>
      </c>
      <c r="E28" s="1">
        <v>202</v>
      </c>
      <c r="F28" s="1">
        <v>482</v>
      </c>
      <c r="G28" s="1">
        <f>SUM(C28,D28)</f>
        <v>697</v>
      </c>
      <c r="H28" s="1">
        <f>SUM(E28,F28)</f>
        <v>684</v>
      </c>
      <c r="I28" s="1">
        <f>SUM(C28,E28)</f>
        <v>676</v>
      </c>
      <c r="J28" s="1">
        <f>SUM(D28,F28)</f>
        <v>705</v>
      </c>
      <c r="K28" s="1">
        <v>1</v>
      </c>
      <c r="L28" s="1">
        <v>0.69225199131064397</v>
      </c>
      <c r="M28" s="1">
        <v>0.70118343195266197</v>
      </c>
      <c r="N28" s="1">
        <v>0.683687943262411</v>
      </c>
      <c r="O28" s="1">
        <v>0.68005738880918198</v>
      </c>
      <c r="P28" s="1">
        <v>0.70467836257309902</v>
      </c>
      <c r="Q28" s="1">
        <v>0.69045884923525103</v>
      </c>
      <c r="R28" s="1">
        <v>0.69402447804175604</v>
      </c>
    </row>
    <row r="29" spans="1:18" x14ac:dyDescent="0.2">
      <c r="A29" s="1" t="s">
        <v>20</v>
      </c>
      <c r="B29" s="1">
        <v>0.3</v>
      </c>
      <c r="C29" s="1">
        <v>704</v>
      </c>
      <c r="D29" s="1">
        <v>102</v>
      </c>
      <c r="E29" s="1">
        <v>391</v>
      </c>
      <c r="F29" s="1">
        <v>414</v>
      </c>
      <c r="G29" s="1">
        <f>SUM(C29,D29)</f>
        <v>806</v>
      </c>
      <c r="H29" s="1">
        <f>SUM(E29,F29)</f>
        <v>805</v>
      </c>
      <c r="I29" s="1">
        <f>SUM(C29,E29)</f>
        <v>1095</v>
      </c>
      <c r="J29" s="1">
        <f>SUM(D29,F29)</f>
        <v>516</v>
      </c>
      <c r="K29" s="1">
        <v>0.94637681159420295</v>
      </c>
      <c r="L29" s="1">
        <v>0.69397889509621302</v>
      </c>
      <c r="M29" s="1">
        <v>0.64292237442922295</v>
      </c>
      <c r="N29" s="1">
        <v>0.80232558139534804</v>
      </c>
      <c r="O29" s="1">
        <v>0.873449131513647</v>
      </c>
      <c r="P29" s="1">
        <v>0.51428571428571401</v>
      </c>
      <c r="Q29" s="1">
        <v>0.74066280904786896</v>
      </c>
      <c r="R29" s="1">
        <v>0.62679788039364104</v>
      </c>
    </row>
    <row r="30" spans="1:18" x14ac:dyDescent="0.2">
      <c r="A30" s="1" t="s">
        <v>20</v>
      </c>
      <c r="B30" s="1">
        <v>0.4</v>
      </c>
      <c r="C30" s="1">
        <v>559</v>
      </c>
      <c r="D30" s="1">
        <v>125</v>
      </c>
      <c r="E30" s="1">
        <v>274</v>
      </c>
      <c r="F30" s="1">
        <v>423</v>
      </c>
      <c r="G30" s="1">
        <f>SUM(C30,D30)</f>
        <v>684</v>
      </c>
      <c r="H30" s="1">
        <f>SUM(E30,F30)</f>
        <v>697</v>
      </c>
      <c r="I30" s="1">
        <f>SUM(C30,E30)</f>
        <v>833</v>
      </c>
      <c r="J30" s="1">
        <f>SUM(D30,F30)</f>
        <v>548</v>
      </c>
      <c r="K30" s="1">
        <v>0.96195652173913004</v>
      </c>
      <c r="L30" s="1">
        <v>0.71107892831281605</v>
      </c>
      <c r="M30" s="1">
        <v>0.67106842737094796</v>
      </c>
      <c r="N30" s="1">
        <v>0.77189781021897796</v>
      </c>
      <c r="O30" s="1">
        <v>0.81725146198830401</v>
      </c>
      <c r="P30" s="1">
        <v>0.60688665710186496</v>
      </c>
      <c r="Q30" s="1">
        <v>0.73698088332234601</v>
      </c>
      <c r="R30" s="1">
        <v>0.67951807228915595</v>
      </c>
    </row>
    <row r="31" spans="1:18" x14ac:dyDescent="0.2">
      <c r="A31" s="1" t="s">
        <v>18</v>
      </c>
      <c r="B31" s="1">
        <v>0.95</v>
      </c>
      <c r="C31" s="1">
        <v>33</v>
      </c>
      <c r="D31" s="1">
        <v>16</v>
      </c>
      <c r="E31" s="1">
        <v>17</v>
      </c>
      <c r="F31" s="1">
        <v>49</v>
      </c>
      <c r="G31" s="1">
        <f>SUM(C31,D31)</f>
        <v>49</v>
      </c>
      <c r="H31" s="1">
        <f>SUM(E31,F31)</f>
        <v>66</v>
      </c>
      <c r="I31" s="1">
        <f>SUM(C31,E31)</f>
        <v>50</v>
      </c>
      <c r="J31" s="1">
        <f>SUM(D31,F31)</f>
        <v>65</v>
      </c>
      <c r="K31" s="1">
        <v>0.687258687258687</v>
      </c>
      <c r="L31" s="1">
        <v>0.713043478260869</v>
      </c>
      <c r="M31" s="1">
        <v>0.66</v>
      </c>
      <c r="N31" s="1">
        <v>0.75384615384615306</v>
      </c>
      <c r="O31" s="1">
        <v>0.67346938775510201</v>
      </c>
      <c r="P31" s="1">
        <v>0.74242424242424199</v>
      </c>
      <c r="Q31" s="1">
        <v>0.66666666666666596</v>
      </c>
      <c r="R31" s="1">
        <v>0.74809160305343503</v>
      </c>
    </row>
    <row r="32" spans="1:18" x14ac:dyDescent="0.2">
      <c r="A32" s="1" t="s">
        <v>20</v>
      </c>
      <c r="B32" s="1">
        <v>0.5</v>
      </c>
      <c r="C32" s="1">
        <v>430</v>
      </c>
      <c r="D32" s="1">
        <v>149</v>
      </c>
      <c r="E32" s="1">
        <v>181</v>
      </c>
      <c r="F32" s="1">
        <v>391</v>
      </c>
      <c r="G32" s="1">
        <f>SUM(C32,D32)</f>
        <v>579</v>
      </c>
      <c r="H32" s="1">
        <f>SUM(E32,F32)</f>
        <v>572</v>
      </c>
      <c r="I32" s="1">
        <f>SUM(C32,E32)</f>
        <v>611</v>
      </c>
      <c r="J32" s="1">
        <f>SUM(D32,F32)</f>
        <v>540</v>
      </c>
      <c r="K32" s="1">
        <v>0.95478260869565201</v>
      </c>
      <c r="L32" s="1">
        <v>0.71329278887923497</v>
      </c>
      <c r="M32" s="1">
        <v>0.70376432078559703</v>
      </c>
      <c r="N32" s="1">
        <v>0.72407407407407398</v>
      </c>
      <c r="O32" s="1">
        <v>0.74265975820379904</v>
      </c>
      <c r="P32" s="1">
        <v>0.68356643356643298</v>
      </c>
      <c r="Q32" s="1">
        <v>0.72268907563025198</v>
      </c>
      <c r="R32" s="1">
        <v>0.70323741007194196</v>
      </c>
    </row>
    <row r="33" spans="1:18" x14ac:dyDescent="0.2">
      <c r="A33" s="1" t="s">
        <v>20</v>
      </c>
      <c r="B33" s="1">
        <v>0.6</v>
      </c>
      <c r="C33" s="1">
        <v>341</v>
      </c>
      <c r="D33" s="1">
        <v>125</v>
      </c>
      <c r="E33" s="1">
        <v>138</v>
      </c>
      <c r="F33" s="1">
        <v>316</v>
      </c>
      <c r="G33" s="1">
        <f>SUM(C33,D33)</f>
        <v>466</v>
      </c>
      <c r="H33" s="1">
        <f>SUM(E33,F33)</f>
        <v>454</v>
      </c>
      <c r="I33" s="1">
        <f>SUM(C33,E33)</f>
        <v>479</v>
      </c>
      <c r="J33" s="1">
        <f>SUM(D33,F33)</f>
        <v>441</v>
      </c>
      <c r="K33" s="1">
        <v>0.94424330195510497</v>
      </c>
      <c r="L33" s="1">
        <v>0.71413043478260796</v>
      </c>
      <c r="M33" s="1">
        <v>0.71189979123173197</v>
      </c>
      <c r="N33" s="1">
        <v>0.71655328798185902</v>
      </c>
      <c r="O33" s="1">
        <v>0.73175965665235998</v>
      </c>
      <c r="P33" s="1">
        <v>0.69603524229074798</v>
      </c>
      <c r="Q33" s="1">
        <v>0.72169312169312105</v>
      </c>
      <c r="R33" s="1">
        <v>0.70614525139664797</v>
      </c>
    </row>
    <row r="34" spans="1:18" x14ac:dyDescent="0.2">
      <c r="A34" s="1" t="s">
        <v>19</v>
      </c>
      <c r="B34" s="1">
        <v>0.7</v>
      </c>
      <c r="C34" s="1">
        <v>246</v>
      </c>
      <c r="D34" s="1">
        <v>100</v>
      </c>
      <c r="E34" s="1">
        <v>90</v>
      </c>
      <c r="F34" s="1">
        <v>254</v>
      </c>
      <c r="G34" s="1">
        <f>SUM(C34,D34)</f>
        <v>346</v>
      </c>
      <c r="H34" s="1">
        <f>SUM(E34,F34)</f>
        <v>344</v>
      </c>
      <c r="I34" s="1">
        <f>SUM(C34,E34)</f>
        <v>336</v>
      </c>
      <c r="J34" s="1">
        <f>SUM(D34,F34)</f>
        <v>354</v>
      </c>
      <c r="K34" s="1">
        <v>0.67822318526543801</v>
      </c>
      <c r="L34" s="1">
        <v>0.72463768115941996</v>
      </c>
      <c r="M34" s="1">
        <v>0.73214285714285698</v>
      </c>
      <c r="N34" s="1">
        <v>0.71751412429378503</v>
      </c>
      <c r="O34" s="1">
        <v>0.71098265895953705</v>
      </c>
      <c r="P34" s="1">
        <v>0.73837209302325502</v>
      </c>
      <c r="Q34" s="1">
        <v>0.721407624633431</v>
      </c>
      <c r="R34" s="1">
        <v>0.72779369627507096</v>
      </c>
    </row>
    <row r="35" spans="1:18" x14ac:dyDescent="0.2">
      <c r="A35" s="1" t="s">
        <v>19</v>
      </c>
      <c r="B35" s="1">
        <v>0.5</v>
      </c>
      <c r="C35" s="1">
        <v>403</v>
      </c>
      <c r="D35" s="1">
        <v>167</v>
      </c>
      <c r="E35" s="1">
        <v>149</v>
      </c>
      <c r="F35" s="1">
        <v>432</v>
      </c>
      <c r="G35" s="1">
        <f>SUM(C35,D35)</f>
        <v>570</v>
      </c>
      <c r="H35" s="1">
        <f>SUM(E35,F35)</f>
        <v>581</v>
      </c>
      <c r="I35" s="1">
        <f>SUM(C35,E35)</f>
        <v>552</v>
      </c>
      <c r="J35" s="1">
        <f>SUM(D35,F35)</f>
        <v>599</v>
      </c>
      <c r="K35" s="1">
        <v>1</v>
      </c>
      <c r="L35" s="1">
        <v>0.72545612510860102</v>
      </c>
      <c r="M35" s="1">
        <v>0.73007246376811596</v>
      </c>
      <c r="N35" s="1">
        <v>0.72120200333889795</v>
      </c>
      <c r="O35" s="1">
        <v>0.70701754385964899</v>
      </c>
      <c r="P35" s="1">
        <v>0.74354561101548999</v>
      </c>
      <c r="Q35" s="1">
        <v>0.71836007130124702</v>
      </c>
      <c r="R35" s="1">
        <v>0.73220338983050803</v>
      </c>
    </row>
    <row r="36" spans="1:18" x14ac:dyDescent="0.2">
      <c r="A36" s="1" t="s">
        <v>19</v>
      </c>
      <c r="B36" s="1">
        <v>0.8</v>
      </c>
      <c r="C36" s="1">
        <v>156</v>
      </c>
      <c r="D36" s="1">
        <v>65</v>
      </c>
      <c r="E36" s="1">
        <v>59</v>
      </c>
      <c r="F36" s="1">
        <v>180</v>
      </c>
      <c r="G36" s="1">
        <f>SUM(C36,D36)</f>
        <v>221</v>
      </c>
      <c r="H36" s="1">
        <f>SUM(E36,F36)</f>
        <v>239</v>
      </c>
      <c r="I36" s="1">
        <f>SUM(C36,E36)</f>
        <v>215</v>
      </c>
      <c r="J36" s="1">
        <f>SUM(D36,F36)</f>
        <v>245</v>
      </c>
      <c r="K36" s="1">
        <v>0.99945681694731103</v>
      </c>
      <c r="L36" s="1">
        <v>0.73043478260869499</v>
      </c>
      <c r="M36" s="1">
        <v>0.72558139534883703</v>
      </c>
      <c r="N36" s="1">
        <v>0.73469387755102</v>
      </c>
      <c r="O36" s="1">
        <v>0.70588235294117596</v>
      </c>
      <c r="P36" s="1">
        <v>0.75313807531380705</v>
      </c>
      <c r="Q36" s="1">
        <v>0.71559633027522895</v>
      </c>
      <c r="R36" s="1">
        <v>0.74380165289256195</v>
      </c>
    </row>
    <row r="37" spans="1:18" x14ac:dyDescent="0.2">
      <c r="A37" s="1" t="s">
        <v>20</v>
      </c>
      <c r="B37" s="1">
        <v>0.9</v>
      </c>
      <c r="C37" s="1">
        <v>93</v>
      </c>
      <c r="D37" s="1">
        <v>22</v>
      </c>
      <c r="E37" s="1">
        <v>39</v>
      </c>
      <c r="F37" s="1">
        <v>76</v>
      </c>
      <c r="G37" s="1">
        <f>SUM(C37,D37)</f>
        <v>115</v>
      </c>
      <c r="H37" s="1">
        <f>SUM(E37,F37)</f>
        <v>115</v>
      </c>
      <c r="I37" s="1">
        <f>SUM(C37,E37)</f>
        <v>132</v>
      </c>
      <c r="J37" s="1">
        <f>SUM(D37,F37)</f>
        <v>98</v>
      </c>
      <c r="K37" s="1">
        <v>0.93288266537904396</v>
      </c>
      <c r="L37" s="1">
        <v>0.73478260869565204</v>
      </c>
      <c r="M37" s="1">
        <v>0.70454545454545403</v>
      </c>
      <c r="N37" s="1">
        <v>0.77551020408163196</v>
      </c>
      <c r="O37" s="1">
        <v>0.80869565217391304</v>
      </c>
      <c r="P37" s="1">
        <v>0.66086956521739104</v>
      </c>
      <c r="Q37" s="1">
        <v>0.75303643724696301</v>
      </c>
      <c r="R37" s="1">
        <v>0.71361502347417805</v>
      </c>
    </row>
    <row r="38" spans="1:18" x14ac:dyDescent="0.2">
      <c r="A38" s="1" t="s">
        <v>20</v>
      </c>
      <c r="B38" s="1">
        <v>0.7</v>
      </c>
      <c r="C38" s="1">
        <v>261</v>
      </c>
      <c r="D38" s="1">
        <v>86</v>
      </c>
      <c r="E38" s="1">
        <v>96</v>
      </c>
      <c r="F38" s="1">
        <v>247</v>
      </c>
      <c r="G38" s="1">
        <f>SUM(C38,D38)</f>
        <v>347</v>
      </c>
      <c r="H38" s="1">
        <f>SUM(E38,F38)</f>
        <v>343</v>
      </c>
      <c r="I38" s="1">
        <f>SUM(C38,E38)</f>
        <v>357</v>
      </c>
      <c r="J38" s="1">
        <f>SUM(D38,F38)</f>
        <v>333</v>
      </c>
      <c r="K38" s="1">
        <v>0.93916821849782695</v>
      </c>
      <c r="L38" s="1">
        <v>0.73623188405797102</v>
      </c>
      <c r="M38" s="1">
        <v>0.73109243697478898</v>
      </c>
      <c r="N38" s="1">
        <v>0.74174174174174101</v>
      </c>
      <c r="O38" s="1">
        <v>0.75216138328530202</v>
      </c>
      <c r="P38" s="1">
        <v>0.72011661807580096</v>
      </c>
      <c r="Q38" s="1">
        <v>0.74147727272727204</v>
      </c>
      <c r="R38" s="1">
        <v>0.73076923076922995</v>
      </c>
    </row>
    <row r="39" spans="1:18" x14ac:dyDescent="0.2">
      <c r="A39" s="1" t="s">
        <v>19</v>
      </c>
      <c r="B39" s="1">
        <v>0.95</v>
      </c>
      <c r="C39" s="1">
        <v>47</v>
      </c>
      <c r="D39" s="1">
        <v>23</v>
      </c>
      <c r="E39" s="1">
        <v>6</v>
      </c>
      <c r="F39" s="1">
        <v>39</v>
      </c>
      <c r="G39" s="1">
        <f>SUM(C39,D39)</f>
        <v>70</v>
      </c>
      <c r="H39" s="1">
        <f>SUM(E39,F39)</f>
        <v>45</v>
      </c>
      <c r="I39" s="1">
        <f>SUM(C39,E39)</f>
        <v>53</v>
      </c>
      <c r="J39" s="1">
        <f>SUM(D39,F39)</f>
        <v>62</v>
      </c>
      <c r="K39" s="1">
        <v>0.99954254345837101</v>
      </c>
      <c r="L39" s="1">
        <v>0.74782608695652097</v>
      </c>
      <c r="M39" s="1">
        <v>0.88679245283018804</v>
      </c>
      <c r="N39" s="1">
        <v>0.62903225806451601</v>
      </c>
      <c r="O39" s="1">
        <v>0.67142857142857104</v>
      </c>
      <c r="P39" s="1">
        <v>0.86666666666666603</v>
      </c>
      <c r="Q39" s="1">
        <v>0.76422764227642204</v>
      </c>
      <c r="R39" s="1">
        <v>0.72897196261682196</v>
      </c>
    </row>
    <row r="40" spans="1:18" x14ac:dyDescent="0.2">
      <c r="A40" s="1" t="s">
        <v>20</v>
      </c>
      <c r="B40" s="1">
        <v>0.8</v>
      </c>
      <c r="C40" s="1">
        <v>171</v>
      </c>
      <c r="D40" s="1">
        <v>53</v>
      </c>
      <c r="E40" s="1">
        <v>63</v>
      </c>
      <c r="F40" s="1">
        <v>173</v>
      </c>
      <c r="G40" s="1">
        <f>SUM(C40,D40)</f>
        <v>224</v>
      </c>
      <c r="H40" s="1">
        <f>SUM(E40,F40)</f>
        <v>236</v>
      </c>
      <c r="I40" s="1">
        <f>SUM(C40,E40)</f>
        <v>234</v>
      </c>
      <c r="J40" s="1">
        <f>SUM(D40,F40)</f>
        <v>226</v>
      </c>
      <c r="K40" s="1">
        <v>0.93970668115154798</v>
      </c>
      <c r="L40" s="1">
        <v>0.74782608695652097</v>
      </c>
      <c r="M40" s="1">
        <v>0.73076923076922995</v>
      </c>
      <c r="N40" s="1">
        <v>0.76548672566371601</v>
      </c>
      <c r="O40" s="1">
        <v>0.76339285714285698</v>
      </c>
      <c r="P40" s="1">
        <v>0.73305084745762705</v>
      </c>
      <c r="Q40" s="1">
        <v>0.74672489082969395</v>
      </c>
      <c r="R40" s="1">
        <v>0.74891774891774798</v>
      </c>
    </row>
    <row r="41" spans="1:18" ht="16" x14ac:dyDescent="0.2">
      <c r="A41" s="10" t="s">
        <v>20</v>
      </c>
      <c r="B41" s="1">
        <v>0.95</v>
      </c>
      <c r="C41" s="1">
        <v>44</v>
      </c>
      <c r="D41" s="1">
        <v>9</v>
      </c>
      <c r="E41" s="1">
        <v>17</v>
      </c>
      <c r="F41" s="1">
        <v>45</v>
      </c>
      <c r="G41" s="1">
        <f>SUM(C41,D41)</f>
        <v>53</v>
      </c>
      <c r="H41" s="1">
        <f>SUM(E41,F41)</f>
        <v>62</v>
      </c>
      <c r="I41" s="1">
        <f>SUM(C41,E41)</f>
        <v>61</v>
      </c>
      <c r="J41" s="1">
        <f>SUM(D41,F41)</f>
        <v>54</v>
      </c>
      <c r="K41" s="1">
        <v>0.925892040256175</v>
      </c>
      <c r="L41" s="1">
        <v>0.77391304347825995</v>
      </c>
      <c r="M41" s="1">
        <v>0.72131147540983598</v>
      </c>
      <c r="N41" s="1">
        <v>0.83333333333333304</v>
      </c>
      <c r="O41" s="1">
        <v>0.83018867924528295</v>
      </c>
      <c r="P41" s="1">
        <v>0.72580645161290303</v>
      </c>
      <c r="Q41" s="1">
        <v>0.77192982456140302</v>
      </c>
      <c r="R41" s="1">
        <v>0.77586206896551702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9574-E416-0449-8744-342AF160BFD8}">
  <dimension ref="A1:J34"/>
  <sheetViews>
    <sheetView zoomScale="125" workbookViewId="0">
      <selection sqref="A1:J6"/>
    </sheetView>
  </sheetViews>
  <sheetFormatPr baseColWidth="10" defaultRowHeight="15" x14ac:dyDescent="0.2"/>
  <cols>
    <col min="1" max="1" width="8.1640625" bestFit="1" customWidth="1"/>
    <col min="2" max="2" width="11.33203125" bestFit="1" customWidth="1"/>
    <col min="4" max="4" width="16.1640625" bestFit="1" customWidth="1"/>
    <col min="5" max="5" width="11.1640625" bestFit="1" customWidth="1"/>
    <col min="6" max="6" width="11.5" bestFit="1" customWidth="1"/>
    <col min="7" max="7" width="17.1640625" bestFit="1" customWidth="1"/>
    <col min="8" max="8" width="17.5" bestFit="1" customWidth="1"/>
    <col min="9" max="9" width="14.33203125" bestFit="1" customWidth="1"/>
    <col min="10" max="10" width="14.6640625" bestFit="1" customWidth="1"/>
  </cols>
  <sheetData>
    <row r="1" spans="1:10" x14ac:dyDescent="0.2">
      <c r="A1" s="12" t="s">
        <v>22</v>
      </c>
      <c r="B1" s="12" t="s">
        <v>0</v>
      </c>
      <c r="C1" s="12" t="s">
        <v>1</v>
      </c>
      <c r="D1" s="12" t="s">
        <v>23</v>
      </c>
      <c r="E1" s="12" t="s">
        <v>24</v>
      </c>
      <c r="F1" s="12" t="s">
        <v>25</v>
      </c>
      <c r="G1" s="12" t="s">
        <v>26</v>
      </c>
      <c r="H1" s="12" t="s">
        <v>27</v>
      </c>
      <c r="I1" s="12" t="s">
        <v>28</v>
      </c>
      <c r="J1" s="12" t="s">
        <v>29</v>
      </c>
    </row>
    <row r="2" spans="1:10" x14ac:dyDescent="0.2">
      <c r="A2" s="13">
        <v>1</v>
      </c>
      <c r="B2" s="13" t="s">
        <v>20</v>
      </c>
      <c r="C2" s="13">
        <v>0.95</v>
      </c>
      <c r="D2" s="13">
        <v>0.77390000000000003</v>
      </c>
      <c r="E2" s="13">
        <v>0.77190000000000003</v>
      </c>
      <c r="F2" s="13">
        <v>0.77590000000000003</v>
      </c>
      <c r="G2" s="14">
        <v>0.83009999999999995</v>
      </c>
      <c r="H2" s="14">
        <v>0.7258</v>
      </c>
      <c r="I2" s="14">
        <v>0.72130000000000005</v>
      </c>
      <c r="J2" s="14">
        <v>0.83330000000000004</v>
      </c>
    </row>
    <row r="3" spans="1:10" x14ac:dyDescent="0.2">
      <c r="A3" s="13">
        <v>2</v>
      </c>
      <c r="B3" s="13" t="s">
        <v>20</v>
      </c>
      <c r="C3" s="13">
        <v>0.8</v>
      </c>
      <c r="D3" s="13">
        <v>0.74780000000000002</v>
      </c>
      <c r="E3" s="13">
        <v>0.74670000000000003</v>
      </c>
      <c r="F3" s="13">
        <v>0.74890000000000001</v>
      </c>
      <c r="G3" s="14">
        <v>0.76339999999999997</v>
      </c>
      <c r="H3" s="14">
        <v>0.73299999999999998</v>
      </c>
      <c r="I3" s="14">
        <v>0.73080000000000001</v>
      </c>
      <c r="J3" s="14">
        <v>0.76549999999999996</v>
      </c>
    </row>
    <row r="4" spans="1:10" x14ac:dyDescent="0.2">
      <c r="A4" s="13">
        <v>3</v>
      </c>
      <c r="B4" s="13" t="s">
        <v>19</v>
      </c>
      <c r="C4" s="13">
        <v>0.95</v>
      </c>
      <c r="D4" s="13">
        <v>0.74780000000000002</v>
      </c>
      <c r="E4" s="13">
        <v>0.76419999999999999</v>
      </c>
      <c r="F4" s="13">
        <v>0.72899999999999998</v>
      </c>
      <c r="G4" s="14">
        <v>0.6714</v>
      </c>
      <c r="H4" s="14">
        <v>0.86670000000000003</v>
      </c>
      <c r="I4" s="14">
        <v>0.88680000000000003</v>
      </c>
      <c r="J4" s="14">
        <v>0.629</v>
      </c>
    </row>
    <row r="5" spans="1:10" x14ac:dyDescent="0.2">
      <c r="A5" s="13">
        <v>4</v>
      </c>
      <c r="B5" s="13" t="s">
        <v>20</v>
      </c>
      <c r="C5" s="13">
        <v>0.7</v>
      </c>
      <c r="D5" s="13">
        <v>0.73619999999999997</v>
      </c>
      <c r="E5" s="13">
        <v>0.74150000000000005</v>
      </c>
      <c r="F5" s="13">
        <v>0.73080000000000001</v>
      </c>
      <c r="G5" s="14">
        <v>0.75219999999999998</v>
      </c>
      <c r="H5" s="14">
        <v>0.72009999999999996</v>
      </c>
      <c r="I5" s="14">
        <v>0.73109999999999997</v>
      </c>
      <c r="J5" s="14">
        <v>0.74170000000000003</v>
      </c>
    </row>
    <row r="6" spans="1:10" x14ac:dyDescent="0.2">
      <c r="A6" s="13">
        <v>5</v>
      </c>
      <c r="B6" s="13" t="s">
        <v>20</v>
      </c>
      <c r="C6" s="13">
        <v>0.9</v>
      </c>
      <c r="D6" s="13">
        <v>0.73480000000000001</v>
      </c>
      <c r="E6" s="13">
        <v>0.753</v>
      </c>
      <c r="F6" s="13">
        <v>0.71360000000000001</v>
      </c>
      <c r="G6" s="14">
        <v>0.80869999999999997</v>
      </c>
      <c r="H6" s="14">
        <v>0.66090000000000004</v>
      </c>
      <c r="I6" s="14">
        <v>0.70450000000000002</v>
      </c>
      <c r="J6" s="14">
        <v>0.77549999999999997</v>
      </c>
    </row>
    <row r="8" spans="1:10" ht="15" customHeight="1" x14ac:dyDescent="0.2">
      <c r="A8" s="15" t="s">
        <v>31</v>
      </c>
      <c r="B8" s="15"/>
      <c r="C8" s="15"/>
      <c r="D8" s="15"/>
      <c r="E8" s="15"/>
      <c r="F8" s="15"/>
      <c r="G8" s="15"/>
      <c r="H8" s="15"/>
      <c r="I8" s="15"/>
      <c r="J8" s="15"/>
    </row>
    <row r="9" spans="1:10" x14ac:dyDescent="0.2">
      <c r="A9" s="15"/>
      <c r="B9" s="15"/>
      <c r="C9" s="15"/>
      <c r="D9" s="15"/>
      <c r="E9" s="15"/>
      <c r="F9" s="15"/>
      <c r="G9" s="15"/>
      <c r="H9" s="15"/>
      <c r="I9" s="15"/>
      <c r="J9" s="15"/>
    </row>
    <row r="10" spans="1:10" x14ac:dyDescent="0.2">
      <c r="A10" s="15"/>
      <c r="B10" s="15"/>
      <c r="C10" s="15"/>
      <c r="D10" s="15"/>
      <c r="E10" s="15"/>
      <c r="F10" s="15"/>
      <c r="G10" s="15"/>
      <c r="H10" s="15"/>
      <c r="I10" s="15"/>
      <c r="J10" s="15"/>
    </row>
    <row r="11" spans="1:10" x14ac:dyDescent="0.2">
      <c r="A11" s="15"/>
      <c r="B11" s="15"/>
      <c r="C11" s="15"/>
      <c r="D11" s="15"/>
      <c r="E11" s="15"/>
      <c r="F11" s="15"/>
      <c r="G11" s="15"/>
      <c r="H11" s="15"/>
      <c r="I11" s="15"/>
      <c r="J11" s="15"/>
    </row>
    <row r="12" spans="1:10" x14ac:dyDescent="0.2">
      <c r="A12" s="15"/>
      <c r="B12" s="15"/>
      <c r="C12" s="15"/>
      <c r="D12" s="15"/>
      <c r="E12" s="15"/>
      <c r="F12" s="15"/>
      <c r="G12" s="15"/>
      <c r="H12" s="15"/>
      <c r="I12" s="15"/>
      <c r="J12" s="15"/>
    </row>
    <row r="13" spans="1:10" x14ac:dyDescent="0.2">
      <c r="A13" s="15"/>
      <c r="B13" s="15"/>
      <c r="C13" s="15"/>
      <c r="D13" s="15"/>
      <c r="E13" s="15"/>
      <c r="F13" s="15"/>
      <c r="G13" s="15"/>
      <c r="H13" s="15"/>
      <c r="I13" s="15"/>
      <c r="J13" s="15"/>
    </row>
    <row r="14" spans="1:10" x14ac:dyDescent="0.2">
      <c r="A14" s="15"/>
      <c r="B14" s="15"/>
      <c r="C14" s="15"/>
      <c r="D14" s="15"/>
      <c r="E14" s="15"/>
      <c r="F14" s="15"/>
      <c r="G14" s="15"/>
      <c r="H14" s="15"/>
      <c r="I14" s="15"/>
      <c r="J14" s="15"/>
    </row>
    <row r="15" spans="1:10" x14ac:dyDescent="0.2">
      <c r="A15" s="15"/>
      <c r="B15" s="15"/>
      <c r="C15" s="15"/>
      <c r="D15" s="15"/>
      <c r="E15" s="15"/>
      <c r="F15" s="15"/>
      <c r="G15" s="15"/>
      <c r="H15" s="15"/>
      <c r="I15" s="15"/>
      <c r="J15" s="15"/>
    </row>
    <row r="16" spans="1:10" x14ac:dyDescent="0.2">
      <c r="A16" s="15"/>
      <c r="B16" s="15"/>
      <c r="C16" s="15"/>
      <c r="D16" s="15"/>
      <c r="E16" s="15"/>
      <c r="F16" s="15"/>
      <c r="G16" s="15"/>
      <c r="H16" s="15"/>
      <c r="I16" s="15"/>
      <c r="J16" s="15"/>
    </row>
    <row r="17" spans="1:10" x14ac:dyDescent="0.2">
      <c r="A17" s="15"/>
      <c r="B17" s="15"/>
      <c r="C17" s="15"/>
      <c r="D17" s="15"/>
      <c r="E17" s="15"/>
      <c r="F17" s="15"/>
      <c r="G17" s="15"/>
      <c r="H17" s="15"/>
      <c r="I17" s="15"/>
      <c r="J17" s="15"/>
    </row>
    <row r="18" spans="1:10" x14ac:dyDescent="0.2">
      <c r="A18" s="15"/>
      <c r="B18" s="15"/>
      <c r="C18" s="15"/>
      <c r="D18" s="15"/>
      <c r="E18" s="15"/>
      <c r="F18" s="15"/>
      <c r="G18" s="15"/>
      <c r="H18" s="15"/>
      <c r="I18" s="15"/>
      <c r="J18" s="15"/>
    </row>
    <row r="19" spans="1:10" x14ac:dyDescent="0.2">
      <c r="A19" s="15"/>
      <c r="B19" s="15"/>
      <c r="C19" s="15"/>
      <c r="D19" s="15"/>
      <c r="E19" s="15"/>
      <c r="F19" s="15"/>
      <c r="G19" s="15"/>
      <c r="H19" s="15"/>
      <c r="I19" s="15"/>
      <c r="J19" s="15"/>
    </row>
    <row r="20" spans="1:10" x14ac:dyDescent="0.2">
      <c r="A20" s="15"/>
      <c r="B20" s="15"/>
      <c r="C20" s="15"/>
      <c r="D20" s="15"/>
      <c r="E20" s="15"/>
      <c r="F20" s="15"/>
      <c r="G20" s="15"/>
      <c r="H20" s="15"/>
      <c r="I20" s="15"/>
      <c r="J20" s="15"/>
    </row>
    <row r="21" spans="1:10" x14ac:dyDescent="0.2">
      <c r="A21" s="15"/>
      <c r="B21" s="15"/>
      <c r="C21" s="15"/>
      <c r="D21" s="15"/>
      <c r="E21" s="15"/>
      <c r="F21" s="15"/>
      <c r="G21" s="15"/>
      <c r="H21" s="15"/>
      <c r="I21" s="15"/>
      <c r="J21" s="15"/>
    </row>
    <row r="22" spans="1:10" x14ac:dyDescent="0.2">
      <c r="A22" s="15"/>
      <c r="B22" s="15"/>
      <c r="C22" s="15"/>
      <c r="D22" s="15"/>
      <c r="E22" s="15"/>
      <c r="F22" s="15"/>
      <c r="G22" s="15"/>
      <c r="H22" s="15"/>
      <c r="I22" s="15"/>
      <c r="J22" s="15"/>
    </row>
    <row r="23" spans="1:10" x14ac:dyDescent="0.2">
      <c r="A23" s="15"/>
      <c r="B23" s="15"/>
      <c r="C23" s="15"/>
      <c r="D23" s="15"/>
      <c r="E23" s="15"/>
      <c r="F23" s="15"/>
      <c r="G23" s="15"/>
      <c r="H23" s="15"/>
      <c r="I23" s="15"/>
      <c r="J23" s="15"/>
    </row>
    <row r="24" spans="1:10" x14ac:dyDescent="0.2">
      <c r="A24" s="15"/>
      <c r="B24" s="15"/>
      <c r="C24" s="15"/>
      <c r="D24" s="15"/>
      <c r="E24" s="15"/>
      <c r="F24" s="15"/>
      <c r="G24" s="15"/>
      <c r="H24" s="15"/>
      <c r="I24" s="15"/>
      <c r="J24" s="15"/>
    </row>
    <row r="25" spans="1:10" x14ac:dyDescent="0.2">
      <c r="A25" s="15"/>
      <c r="B25" s="15"/>
      <c r="C25" s="15"/>
      <c r="D25" s="15"/>
      <c r="E25" s="15"/>
      <c r="F25" s="15"/>
      <c r="G25" s="15"/>
      <c r="H25" s="15"/>
      <c r="I25" s="15"/>
      <c r="J25" s="15"/>
    </row>
    <row r="26" spans="1:10" x14ac:dyDescent="0.2">
      <c r="A26" s="15"/>
      <c r="B26" s="15"/>
      <c r="C26" s="15"/>
      <c r="D26" s="15"/>
      <c r="E26" s="15"/>
      <c r="F26" s="15"/>
      <c r="G26" s="15"/>
      <c r="H26" s="15"/>
      <c r="I26" s="15"/>
      <c r="J26" s="15"/>
    </row>
    <row r="27" spans="1:10" x14ac:dyDescent="0.2">
      <c r="A27" s="15"/>
      <c r="B27" s="15"/>
      <c r="C27" s="15"/>
      <c r="D27" s="15"/>
      <c r="E27" s="15"/>
      <c r="F27" s="15"/>
      <c r="G27" s="15"/>
      <c r="H27" s="15"/>
      <c r="I27" s="15"/>
      <c r="J27" s="15"/>
    </row>
    <row r="28" spans="1:10" x14ac:dyDescent="0.2">
      <c r="A28" s="15"/>
      <c r="B28" s="15"/>
      <c r="C28" s="15"/>
      <c r="D28" s="15"/>
      <c r="E28" s="15"/>
      <c r="F28" s="15"/>
      <c r="G28" s="15"/>
      <c r="H28" s="15"/>
      <c r="I28" s="15"/>
      <c r="J28" s="15"/>
    </row>
    <row r="29" spans="1:10" x14ac:dyDescent="0.2">
      <c r="A29" s="15"/>
      <c r="B29" s="15"/>
      <c r="C29" s="15"/>
      <c r="D29" s="15"/>
      <c r="E29" s="15"/>
      <c r="F29" s="15"/>
      <c r="G29" s="15"/>
      <c r="H29" s="15"/>
      <c r="I29" s="15"/>
      <c r="J29" s="15"/>
    </row>
    <row r="30" spans="1:10" x14ac:dyDescent="0.2">
      <c r="A30" s="15"/>
      <c r="B30" s="15"/>
      <c r="C30" s="15"/>
      <c r="D30" s="15"/>
      <c r="E30" s="15"/>
      <c r="F30" s="15"/>
      <c r="G30" s="15"/>
      <c r="H30" s="15"/>
      <c r="I30" s="15"/>
      <c r="J30" s="15"/>
    </row>
    <row r="31" spans="1:10" x14ac:dyDescent="0.2">
      <c r="A31" s="15"/>
      <c r="B31" s="15"/>
      <c r="C31" s="15"/>
      <c r="D31" s="15"/>
      <c r="E31" s="15"/>
      <c r="F31" s="15"/>
      <c r="G31" s="15"/>
      <c r="H31" s="15"/>
      <c r="I31" s="15"/>
      <c r="J31" s="15"/>
    </row>
    <row r="32" spans="1:10" x14ac:dyDescent="0.2">
      <c r="A32" s="15"/>
      <c r="B32" s="15"/>
      <c r="C32" s="15"/>
      <c r="D32" s="15"/>
      <c r="E32" s="15"/>
      <c r="F32" s="15"/>
      <c r="G32" s="15"/>
      <c r="H32" s="15"/>
      <c r="I32" s="15"/>
      <c r="J32" s="15"/>
    </row>
    <row r="33" spans="1:10" x14ac:dyDescent="0.2">
      <c r="A33" s="15"/>
      <c r="B33" s="15"/>
      <c r="C33" s="15"/>
      <c r="D33" s="15"/>
      <c r="E33" s="15"/>
      <c r="F33" s="15"/>
      <c r="G33" s="15"/>
      <c r="H33" s="15"/>
      <c r="I33" s="15"/>
      <c r="J33" s="15"/>
    </row>
    <row r="34" spans="1:10" x14ac:dyDescent="0.2">
      <c r="A34" s="15"/>
      <c r="B34" s="15"/>
      <c r="C34" s="15"/>
      <c r="D34" s="15"/>
      <c r="E34" s="15"/>
      <c r="F34" s="15"/>
      <c r="G34" s="15"/>
      <c r="H34" s="15"/>
      <c r="I34" s="15"/>
      <c r="J34" s="15"/>
    </row>
  </sheetData>
  <mergeCells count="1">
    <mergeCell ref="A8:J3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BE6A-4B33-44DB-A6A0-258C123F4255}">
  <dimension ref="A1:J41"/>
  <sheetViews>
    <sheetView zoomScale="150" workbookViewId="0">
      <selection activeCell="D17" sqref="A1:J41"/>
    </sheetView>
  </sheetViews>
  <sheetFormatPr baseColWidth="10" defaultColWidth="8.83203125" defaultRowHeight="15" x14ac:dyDescent="0.2"/>
  <cols>
    <col min="1" max="1" width="12.33203125" bestFit="1" customWidth="1"/>
    <col min="2" max="2" width="10.6640625" bestFit="1" customWidth="1"/>
    <col min="3" max="3" width="17.1640625" bestFit="1" customWidth="1"/>
    <col min="4" max="4" width="16.1640625" bestFit="1" customWidth="1"/>
    <col min="5" max="5" width="23.33203125" bestFit="1" customWidth="1"/>
    <col min="6" max="6" width="23.5" bestFit="1" customWidth="1"/>
    <col min="7" max="7" width="20.5" bestFit="1" customWidth="1"/>
    <col min="8" max="8" width="20.83203125" bestFit="1" customWidth="1"/>
    <col min="9" max="9" width="16.83203125" bestFit="1" customWidth="1"/>
    <col min="10" max="10" width="17.1640625" bestFit="1" customWidth="1"/>
  </cols>
  <sheetData>
    <row r="1" spans="1:10" x14ac:dyDescent="0.2">
      <c r="A1" s="4" t="s">
        <v>0</v>
      </c>
      <c r="B1" s="2" t="s">
        <v>1</v>
      </c>
      <c r="C1" s="2" t="s">
        <v>10</v>
      </c>
      <c r="D1" s="2" t="s">
        <v>11</v>
      </c>
      <c r="E1" s="2" t="s">
        <v>12</v>
      </c>
      <c r="F1" s="2" t="s">
        <v>13</v>
      </c>
      <c r="G1" s="2" t="s">
        <v>14</v>
      </c>
      <c r="H1" s="2" t="s">
        <v>15</v>
      </c>
      <c r="I1" s="2" t="s">
        <v>16</v>
      </c>
      <c r="J1" s="7" t="s">
        <v>17</v>
      </c>
    </row>
    <row r="2" spans="1:10" ht="16" x14ac:dyDescent="0.2">
      <c r="A2" s="11" t="s">
        <v>20</v>
      </c>
      <c r="B2" s="1">
        <v>0.4</v>
      </c>
      <c r="C2" s="1">
        <v>0.93181725087882505</v>
      </c>
      <c r="D2" s="1">
        <v>0.74270468661773004</v>
      </c>
      <c r="E2" s="1">
        <v>0.73725369117325301</v>
      </c>
      <c r="F2" s="1">
        <v>0.74963100683605399</v>
      </c>
      <c r="G2" s="1">
        <v>0.75360608713635702</v>
      </c>
      <c r="H2" s="1">
        <v>0.73201697335054405</v>
      </c>
      <c r="I2" s="1">
        <v>0.74459911003413803</v>
      </c>
      <c r="J2" s="8">
        <v>0.73990836467926502</v>
      </c>
    </row>
    <row r="3" spans="1:10" x14ac:dyDescent="0.2">
      <c r="A3" s="5" t="s">
        <v>20</v>
      </c>
      <c r="B3" s="1">
        <v>0.1</v>
      </c>
      <c r="C3" s="1">
        <v>0.93167234666909204</v>
      </c>
      <c r="D3" s="1">
        <v>0.74227743271221502</v>
      </c>
      <c r="E3" s="1">
        <v>0.73590072782682703</v>
      </c>
      <c r="F3" s="1">
        <v>0.74873539702097303</v>
      </c>
      <c r="G3" s="1">
        <v>0.75381645723048096</v>
      </c>
      <c r="H3" s="1">
        <v>0.72985542474089304</v>
      </c>
      <c r="I3" s="1">
        <v>0.74425227254117898</v>
      </c>
      <c r="J3" s="8">
        <v>0.73858210017958803</v>
      </c>
    </row>
    <row r="4" spans="1:10" x14ac:dyDescent="0.2">
      <c r="A4" s="5" t="s">
        <v>20</v>
      </c>
      <c r="B4" s="1">
        <v>0.3</v>
      </c>
      <c r="C4" s="1">
        <v>0.93196187517057505</v>
      </c>
      <c r="D4" s="1">
        <v>0.74185582533408601</v>
      </c>
      <c r="E4" s="1">
        <v>0.73730953305504299</v>
      </c>
      <c r="F4" s="1">
        <v>0.746820670063847</v>
      </c>
      <c r="G4" s="1">
        <v>0.748917649387288</v>
      </c>
      <c r="H4" s="1">
        <v>0.73447060212375104</v>
      </c>
      <c r="I4" s="1">
        <v>0.74244635875782605</v>
      </c>
      <c r="J4" s="8">
        <v>0.73999864995212805</v>
      </c>
    </row>
    <row r="5" spans="1:10" x14ac:dyDescent="0.2">
      <c r="A5" s="5" t="s">
        <v>20</v>
      </c>
      <c r="B5" s="1">
        <v>0.9</v>
      </c>
      <c r="C5" s="1">
        <v>0.93297641457719505</v>
      </c>
      <c r="D5" s="1">
        <v>0.74011293054771299</v>
      </c>
      <c r="E5" s="1">
        <v>0.73561000348655903</v>
      </c>
      <c r="F5" s="1">
        <v>0.74561298144055599</v>
      </c>
      <c r="G5" s="1">
        <v>0.74782919901045697</v>
      </c>
      <c r="H5" s="1">
        <v>0.73259132498949597</v>
      </c>
      <c r="I5" s="1">
        <v>0.74069114704218897</v>
      </c>
      <c r="J5" s="8">
        <v>0.73809125935765296</v>
      </c>
    </row>
    <row r="6" spans="1:10" x14ac:dyDescent="0.2">
      <c r="A6" s="5" t="s">
        <v>20</v>
      </c>
      <c r="B6" s="1">
        <v>0.7</v>
      </c>
      <c r="C6" s="1">
        <v>0.93181720422582803</v>
      </c>
      <c r="D6" s="1">
        <v>0.73967061923583599</v>
      </c>
      <c r="E6" s="1">
        <v>0.73794631148287904</v>
      </c>
      <c r="F6" s="1">
        <v>0.74212085326765898</v>
      </c>
      <c r="G6" s="1">
        <v>0.74251567348429903</v>
      </c>
      <c r="H6" s="1">
        <v>0.73692377936214304</v>
      </c>
      <c r="I6" s="1">
        <v>0.73959727037017997</v>
      </c>
      <c r="J6" s="8">
        <v>0.73889740887567601</v>
      </c>
    </row>
    <row r="7" spans="1:10" x14ac:dyDescent="0.2">
      <c r="A7" s="5" t="s">
        <v>19</v>
      </c>
      <c r="B7" s="1">
        <v>0.9</v>
      </c>
      <c r="C7" s="1">
        <v>0.99956540400329297</v>
      </c>
      <c r="D7" s="1">
        <v>0.73926030491247796</v>
      </c>
      <c r="E7" s="1">
        <v>0.75381302724291899</v>
      </c>
      <c r="F7" s="1">
        <v>0.72736263112440003</v>
      </c>
      <c r="G7" s="1">
        <v>0.70824456365315303</v>
      </c>
      <c r="H7" s="1">
        <v>0.77092007754569702</v>
      </c>
      <c r="I7" s="1">
        <v>0.72940553772285499</v>
      </c>
      <c r="J7" s="8">
        <v>0.74774012559014702</v>
      </c>
    </row>
    <row r="8" spans="1:10" x14ac:dyDescent="0.2">
      <c r="A8" s="5" t="s">
        <v>20</v>
      </c>
      <c r="B8" s="1">
        <v>0.6</v>
      </c>
      <c r="C8" s="1">
        <v>0.93287932968973397</v>
      </c>
      <c r="D8" s="1">
        <v>0.73924901185770697</v>
      </c>
      <c r="E8" s="1">
        <v>0.73359791720551204</v>
      </c>
      <c r="F8" s="1">
        <v>0.74501354596983504</v>
      </c>
      <c r="G8" s="1">
        <v>0.74985684347051096</v>
      </c>
      <c r="H8" s="1">
        <v>0.72801340029519901</v>
      </c>
      <c r="I8" s="1">
        <v>0.74128831823111696</v>
      </c>
      <c r="J8" s="8">
        <v>0.73606015088252497</v>
      </c>
    </row>
    <row r="9" spans="1:10" x14ac:dyDescent="0.2">
      <c r="A9" s="5" t="s">
        <v>20</v>
      </c>
      <c r="B9" s="1">
        <v>0.95</v>
      </c>
      <c r="C9" s="1">
        <v>0.93307258973120799</v>
      </c>
      <c r="D9" s="1">
        <v>0.73882552230378296</v>
      </c>
      <c r="E9" s="1">
        <v>0.73679236972045004</v>
      </c>
      <c r="F9" s="1">
        <v>0.74135122805376297</v>
      </c>
      <c r="G9" s="1">
        <v>0.74632065717560503</v>
      </c>
      <c r="H9" s="1">
        <v>0.72947054547684298</v>
      </c>
      <c r="I9" s="1">
        <v>0.74032577582768699</v>
      </c>
      <c r="J9" s="8">
        <v>0.73405050397900995</v>
      </c>
    </row>
    <row r="10" spans="1:10" x14ac:dyDescent="0.2">
      <c r="A10" s="5" t="s">
        <v>19</v>
      </c>
      <c r="B10" s="1">
        <v>0.8</v>
      </c>
      <c r="C10" s="1">
        <v>0.99956540400329297</v>
      </c>
      <c r="D10" s="1">
        <v>0.73794089968002996</v>
      </c>
      <c r="E10" s="1">
        <v>0.75240001688985803</v>
      </c>
      <c r="F10" s="1">
        <v>0.724985035559913</v>
      </c>
      <c r="G10" s="1">
        <v>0.70903185761524601</v>
      </c>
      <c r="H10" s="1">
        <v>0.768092784176021</v>
      </c>
      <c r="I10" s="1">
        <v>0.72896472916393495</v>
      </c>
      <c r="J10" s="8">
        <v>0.744842979020365</v>
      </c>
    </row>
    <row r="11" spans="1:10" x14ac:dyDescent="0.2">
      <c r="A11" s="5" t="s">
        <v>20</v>
      </c>
      <c r="B11" s="1">
        <v>0.2</v>
      </c>
      <c r="C11" s="1">
        <v>0.93220337441129697</v>
      </c>
      <c r="D11" s="1">
        <v>0.73794089968002996</v>
      </c>
      <c r="E11" s="1">
        <v>0.73161368287085005</v>
      </c>
      <c r="F11" s="1">
        <v>0.74573392781816605</v>
      </c>
      <c r="G11" s="1">
        <v>0.74944506019336499</v>
      </c>
      <c r="H11" s="1">
        <v>0.72683217888802798</v>
      </c>
      <c r="I11" s="1">
        <v>0.73962665578860298</v>
      </c>
      <c r="J11" s="8">
        <v>0.73536451196011399</v>
      </c>
    </row>
    <row r="12" spans="1:10" x14ac:dyDescent="0.2">
      <c r="A12" s="5" t="s">
        <v>19</v>
      </c>
      <c r="B12" s="1">
        <v>0.3</v>
      </c>
      <c r="C12" s="1">
        <v>0.99956540400329297</v>
      </c>
      <c r="D12" s="1">
        <v>0.73793337097684897</v>
      </c>
      <c r="E12" s="1">
        <v>0.75393912324227197</v>
      </c>
      <c r="F12" s="1">
        <v>0.723683725670905</v>
      </c>
      <c r="G12" s="1">
        <v>0.70604862126297496</v>
      </c>
      <c r="H12" s="1">
        <v>0.76950893903004502</v>
      </c>
      <c r="I12" s="1">
        <v>0.72862070874203799</v>
      </c>
      <c r="J12" s="8">
        <v>0.74538427525587003</v>
      </c>
    </row>
    <row r="13" spans="1:10" x14ac:dyDescent="0.2">
      <c r="A13" s="5" t="s">
        <v>19</v>
      </c>
      <c r="B13" s="1">
        <v>0.5</v>
      </c>
      <c r="C13" s="1">
        <v>0.99956540400329297</v>
      </c>
      <c r="D13" s="1">
        <v>0.73707133446263795</v>
      </c>
      <c r="E13" s="1">
        <v>0.74907051930617896</v>
      </c>
      <c r="F13" s="1">
        <v>0.72732033647133898</v>
      </c>
      <c r="G13" s="1">
        <v>0.71206156683585797</v>
      </c>
      <c r="H13" s="1">
        <v>0.76230173613264696</v>
      </c>
      <c r="I13" s="1">
        <v>0.72939109185782502</v>
      </c>
      <c r="J13" s="8">
        <v>0.74376596079729096</v>
      </c>
    </row>
    <row r="14" spans="1:10" x14ac:dyDescent="0.2">
      <c r="A14" s="5" t="s">
        <v>20</v>
      </c>
      <c r="B14" s="1">
        <v>0.8</v>
      </c>
      <c r="C14" s="1">
        <v>0.93215490194706196</v>
      </c>
      <c r="D14" s="1">
        <v>0.73621682665160904</v>
      </c>
      <c r="E14" s="1">
        <v>0.730643035387331</v>
      </c>
      <c r="F14" s="1">
        <v>0.740580075697858</v>
      </c>
      <c r="G14" s="1">
        <v>0.74544667778998397</v>
      </c>
      <c r="H14" s="1">
        <v>0.72755616869546202</v>
      </c>
      <c r="I14" s="1">
        <v>0.73747769765379001</v>
      </c>
      <c r="J14" s="8">
        <v>0.73350886082926503</v>
      </c>
    </row>
    <row r="15" spans="1:10" x14ac:dyDescent="0.2">
      <c r="A15" s="5" t="s">
        <v>20</v>
      </c>
      <c r="B15" s="1">
        <v>0.5</v>
      </c>
      <c r="C15" s="1">
        <v>0.93287930636323502</v>
      </c>
      <c r="D15" s="1">
        <v>0.73619047619047595</v>
      </c>
      <c r="E15" s="1">
        <v>0.73064591417557101</v>
      </c>
      <c r="F15" s="1">
        <v>0.74221445944157605</v>
      </c>
      <c r="G15" s="1">
        <v>0.74986109688841596</v>
      </c>
      <c r="H15" s="1">
        <v>0.72116221479318499</v>
      </c>
      <c r="I15" s="1">
        <v>0.73949211540493398</v>
      </c>
      <c r="J15" s="8">
        <v>0.73079973772385598</v>
      </c>
    </row>
    <row r="16" spans="1:10" x14ac:dyDescent="0.2">
      <c r="A16" s="5" t="s">
        <v>19</v>
      </c>
      <c r="B16" s="1">
        <v>0.4</v>
      </c>
      <c r="C16" s="1">
        <v>0.99956540400329297</v>
      </c>
      <c r="D16" s="1">
        <v>0.73533973273103703</v>
      </c>
      <c r="E16" s="1">
        <v>0.74723125605943896</v>
      </c>
      <c r="F16" s="1">
        <v>0.72275369232204301</v>
      </c>
      <c r="G16" s="1">
        <v>0.710105162336925</v>
      </c>
      <c r="H16" s="1">
        <v>0.76032841554257802</v>
      </c>
      <c r="I16" s="1">
        <v>0.727504081374587</v>
      </c>
      <c r="J16" s="8">
        <v>0.74039136261645699</v>
      </c>
    </row>
    <row r="17" spans="1:10" x14ac:dyDescent="0.2">
      <c r="A17" s="5" t="s">
        <v>19</v>
      </c>
      <c r="B17" s="1">
        <v>0.6</v>
      </c>
      <c r="C17" s="1">
        <v>0.99956540400329297</v>
      </c>
      <c r="D17" s="1">
        <v>0.73402220967438303</v>
      </c>
      <c r="E17" s="1">
        <v>0.75079091085121796</v>
      </c>
      <c r="F17" s="1">
        <v>0.72068875422718803</v>
      </c>
      <c r="G17" s="1">
        <v>0.70270405677365699</v>
      </c>
      <c r="H17" s="1">
        <v>0.76728258424559403</v>
      </c>
      <c r="I17" s="1">
        <v>0.72469606996748603</v>
      </c>
      <c r="J17" s="8">
        <v>0.74211639217929104</v>
      </c>
    </row>
    <row r="18" spans="1:10" x14ac:dyDescent="0.2">
      <c r="A18" s="5" t="s">
        <v>19</v>
      </c>
      <c r="B18" s="1">
        <v>0.2</v>
      </c>
      <c r="C18" s="1">
        <v>0.99956540400329297</v>
      </c>
      <c r="D18" s="1">
        <v>0.73316393751176301</v>
      </c>
      <c r="E18" s="1">
        <v>0.73864723224554296</v>
      </c>
      <c r="F18" s="1">
        <v>0.72561658225375703</v>
      </c>
      <c r="G18" s="1">
        <v>0.71346913635758002</v>
      </c>
      <c r="H18" s="1">
        <v>0.75119628080824197</v>
      </c>
      <c r="I18" s="1">
        <v>0.72527299983360605</v>
      </c>
      <c r="J18" s="8">
        <v>0.73770283850219398</v>
      </c>
    </row>
    <row r="19" spans="1:10" x14ac:dyDescent="0.2">
      <c r="A19" s="5" t="s">
        <v>19</v>
      </c>
      <c r="B19" s="1">
        <v>0.95</v>
      </c>
      <c r="C19" s="1">
        <v>0.99956540400329297</v>
      </c>
      <c r="D19" s="1">
        <v>0.73274044795783899</v>
      </c>
      <c r="E19" s="1">
        <v>0.74830768769521705</v>
      </c>
      <c r="F19" s="1">
        <v>0.71974049834547704</v>
      </c>
      <c r="G19" s="1">
        <v>0.70225208709213804</v>
      </c>
      <c r="H19" s="1">
        <v>0.76563149502726802</v>
      </c>
      <c r="I19" s="1">
        <v>0.72323132965254799</v>
      </c>
      <c r="J19" s="8">
        <v>0.74080232305046501</v>
      </c>
    </row>
    <row r="20" spans="1:10" x14ac:dyDescent="0.2">
      <c r="A20" s="5" t="s">
        <v>19</v>
      </c>
      <c r="B20" s="1">
        <v>0.7</v>
      </c>
      <c r="C20" s="1">
        <v>0.99956542732979203</v>
      </c>
      <c r="D20" s="1">
        <v>0.73142668925277599</v>
      </c>
      <c r="E20" s="1">
        <v>0.74514824311213301</v>
      </c>
      <c r="F20" s="1">
        <v>0.71831385033937201</v>
      </c>
      <c r="G20" s="1">
        <v>0.703640085756985</v>
      </c>
      <c r="H20" s="1">
        <v>0.75839954925986697</v>
      </c>
      <c r="I20" s="1">
        <v>0.72340426612659203</v>
      </c>
      <c r="J20" s="8">
        <v>0.73745137827215101</v>
      </c>
    </row>
    <row r="21" spans="1:10" x14ac:dyDescent="0.2">
      <c r="A21" s="5" t="s">
        <v>19</v>
      </c>
      <c r="B21" s="1">
        <v>0.1</v>
      </c>
      <c r="C21" s="1">
        <v>0.99956540400329297</v>
      </c>
      <c r="D21" s="1">
        <v>0.73098249576510399</v>
      </c>
      <c r="E21" s="1">
        <v>0.743597744302543</v>
      </c>
      <c r="F21" s="1">
        <v>0.72078650239617204</v>
      </c>
      <c r="G21" s="1">
        <v>0.70573390251893897</v>
      </c>
      <c r="H21" s="1">
        <v>0.75612631851185397</v>
      </c>
      <c r="I21" s="1">
        <v>0.72299634495166998</v>
      </c>
      <c r="J21" s="8">
        <v>0.73700697249795899</v>
      </c>
    </row>
    <row r="22" spans="1:10" x14ac:dyDescent="0.2">
      <c r="A22" s="5" t="s">
        <v>18</v>
      </c>
      <c r="B22" s="1">
        <v>0.1</v>
      </c>
      <c r="C22" s="1">
        <v>0.68902394931618305</v>
      </c>
      <c r="D22" s="1">
        <v>0.67405044231131095</v>
      </c>
      <c r="E22" s="1">
        <v>0.74763339489434999</v>
      </c>
      <c r="F22" s="1">
        <v>0.63956382715695204</v>
      </c>
      <c r="G22" s="1">
        <v>0.53583497586759499</v>
      </c>
      <c r="H22" s="1">
        <v>0.81411503082373204</v>
      </c>
      <c r="I22" s="1">
        <v>0.61648512578843095</v>
      </c>
      <c r="J22" s="8">
        <v>0.71311146195069797</v>
      </c>
    </row>
    <row r="23" spans="1:10" x14ac:dyDescent="0.2">
      <c r="A23" s="5" t="s">
        <v>18</v>
      </c>
      <c r="B23" s="1">
        <v>0.7</v>
      </c>
      <c r="C23" s="1">
        <v>0.686850852700158</v>
      </c>
      <c r="D23" s="1">
        <v>0.67317711274233005</v>
      </c>
      <c r="E23" s="1">
        <v>0.75441450457913295</v>
      </c>
      <c r="F23" s="1">
        <v>0.63323583760624302</v>
      </c>
      <c r="G23" s="1">
        <v>0.52117594130562706</v>
      </c>
      <c r="H23" s="1">
        <v>0.821454170419604</v>
      </c>
      <c r="I23" s="1">
        <v>0.61145809926268302</v>
      </c>
      <c r="J23" s="8">
        <v>0.71340969206117899</v>
      </c>
    </row>
    <row r="24" spans="1:10" x14ac:dyDescent="0.2">
      <c r="A24" s="5" t="s">
        <v>18</v>
      </c>
      <c r="B24" s="1">
        <v>0.9</v>
      </c>
      <c r="C24" s="1">
        <v>0.690762543241496</v>
      </c>
      <c r="D24" s="1">
        <v>0.67144362883493303</v>
      </c>
      <c r="E24" s="1">
        <v>0.73253851223433797</v>
      </c>
      <c r="F24" s="1">
        <v>0.64013468654712202</v>
      </c>
      <c r="G24" s="1">
        <v>0.55112315741121098</v>
      </c>
      <c r="H24" s="1">
        <v>0.79526022008143704</v>
      </c>
      <c r="I24" s="1">
        <v>0.62323835197940503</v>
      </c>
      <c r="J24" s="8">
        <v>0.70610774366145101</v>
      </c>
    </row>
    <row r="25" spans="1:10" x14ac:dyDescent="0.2">
      <c r="A25" s="5" t="s">
        <v>18</v>
      </c>
      <c r="B25" s="1">
        <v>0.95</v>
      </c>
      <c r="C25" s="1">
        <v>0.69139039927967705</v>
      </c>
      <c r="D25" s="1">
        <v>0.67102013928100801</v>
      </c>
      <c r="E25" s="1">
        <v>0.731471067822274</v>
      </c>
      <c r="F25" s="1">
        <v>0.64342496454083098</v>
      </c>
      <c r="G25" s="1">
        <v>0.55930787562032802</v>
      </c>
      <c r="H25" s="1">
        <v>0.78413178906067005</v>
      </c>
      <c r="I25" s="1">
        <v>0.62526862836495201</v>
      </c>
      <c r="J25" s="8">
        <v>0.70256656429900799</v>
      </c>
    </row>
    <row r="26" spans="1:10" x14ac:dyDescent="0.2">
      <c r="A26" s="5" t="s">
        <v>18</v>
      </c>
      <c r="B26" s="1">
        <v>0.3</v>
      </c>
      <c r="C26" s="1">
        <v>0.69298331922080103</v>
      </c>
      <c r="D26" s="1">
        <v>0.67058159232072201</v>
      </c>
      <c r="E26" s="1">
        <v>0.73140389798584504</v>
      </c>
      <c r="F26" s="1">
        <v>0.63849620471296797</v>
      </c>
      <c r="G26" s="1">
        <v>0.54745014871561304</v>
      </c>
      <c r="H26" s="1">
        <v>0.79457799669484497</v>
      </c>
      <c r="I26" s="1">
        <v>0.62109785511910798</v>
      </c>
      <c r="J26" s="8">
        <v>0.70548959210700801</v>
      </c>
    </row>
    <row r="27" spans="1:10" x14ac:dyDescent="0.2">
      <c r="A27" s="5" t="s">
        <v>18</v>
      </c>
      <c r="B27" s="1">
        <v>0.5</v>
      </c>
      <c r="C27" s="1">
        <v>0.68796175387278102</v>
      </c>
      <c r="D27" s="1">
        <v>0.67015622059100299</v>
      </c>
      <c r="E27" s="1">
        <v>0.74371739280314597</v>
      </c>
      <c r="F27" s="1">
        <v>0.63512945608169702</v>
      </c>
      <c r="G27" s="1">
        <v>0.53099159021644804</v>
      </c>
      <c r="H27" s="1">
        <v>0.81108356590147901</v>
      </c>
      <c r="I27" s="1">
        <v>0.613055062280493</v>
      </c>
      <c r="J27" s="8">
        <v>0.70957917256228897</v>
      </c>
    </row>
    <row r="28" spans="1:10" x14ac:dyDescent="0.2">
      <c r="A28" s="5" t="s">
        <v>18</v>
      </c>
      <c r="B28" s="1">
        <v>0.4</v>
      </c>
      <c r="C28" s="1">
        <v>0.68931364110315596</v>
      </c>
      <c r="D28" s="1">
        <v>0.66970261622435501</v>
      </c>
      <c r="E28" s="1">
        <v>0.72961750960035698</v>
      </c>
      <c r="F28" s="1">
        <v>0.63757642846150597</v>
      </c>
      <c r="G28" s="1">
        <v>0.54603394133585104</v>
      </c>
      <c r="H28" s="1">
        <v>0.79337099551134405</v>
      </c>
      <c r="I28" s="1">
        <v>0.62080232628364995</v>
      </c>
      <c r="J28" s="8">
        <v>0.70539363685537604</v>
      </c>
    </row>
    <row r="29" spans="1:10" x14ac:dyDescent="0.2">
      <c r="A29" s="5" t="s">
        <v>18</v>
      </c>
      <c r="B29" s="1">
        <v>0.2</v>
      </c>
      <c r="C29" s="1">
        <v>0.68883094586619398</v>
      </c>
      <c r="D29" s="1">
        <v>0.66928289102202099</v>
      </c>
      <c r="E29" s="1">
        <v>0.76171355606557001</v>
      </c>
      <c r="F29" s="1">
        <v>0.628108278963603</v>
      </c>
      <c r="G29" s="1">
        <v>0.50137124603308303</v>
      </c>
      <c r="H29" s="1">
        <v>0.83489310108278603</v>
      </c>
      <c r="I29" s="1">
        <v>0.59829404436357203</v>
      </c>
      <c r="J29" s="8">
        <v>0.71478505391355995</v>
      </c>
    </row>
    <row r="30" spans="1:10" x14ac:dyDescent="0.2">
      <c r="A30" s="5" t="s">
        <v>18</v>
      </c>
      <c r="B30" s="1">
        <v>0.6</v>
      </c>
      <c r="C30" s="1">
        <v>0.69047296808701697</v>
      </c>
      <c r="D30" s="1">
        <v>0.66927912667043099</v>
      </c>
      <c r="E30" s="1">
        <v>0.75220771260009001</v>
      </c>
      <c r="F30" s="1">
        <v>0.63164208270158995</v>
      </c>
      <c r="G30" s="1">
        <v>0.52092225179982299</v>
      </c>
      <c r="H30" s="1">
        <v>0.81725711604436702</v>
      </c>
      <c r="I30" s="1">
        <v>0.60885418327785501</v>
      </c>
      <c r="J30" s="8">
        <v>0.71004104581797001</v>
      </c>
    </row>
    <row r="31" spans="1:10" x14ac:dyDescent="0.2">
      <c r="A31" s="5" t="s">
        <v>18</v>
      </c>
      <c r="B31" s="1">
        <v>0.8</v>
      </c>
      <c r="C31" s="1">
        <v>0.68854092750824003</v>
      </c>
      <c r="D31" s="1">
        <v>0.66666290231507597</v>
      </c>
      <c r="E31" s="1">
        <v>0.759449813799282</v>
      </c>
      <c r="F31" s="1">
        <v>0.62493266029279604</v>
      </c>
      <c r="G31" s="1">
        <v>0.49330621628208299</v>
      </c>
      <c r="H31" s="1">
        <v>0.84041954554724996</v>
      </c>
      <c r="I31" s="1">
        <v>0.59422261500372298</v>
      </c>
      <c r="J31" s="8">
        <v>0.71512025045129102</v>
      </c>
    </row>
    <row r="32" spans="1:10" x14ac:dyDescent="0.2">
      <c r="A32" s="5" t="s">
        <v>21</v>
      </c>
      <c r="B32" s="1">
        <v>0.2</v>
      </c>
      <c r="C32" s="1">
        <v>0.71012878559915205</v>
      </c>
      <c r="D32" s="1">
        <v>0.65837568228872501</v>
      </c>
      <c r="E32" s="1">
        <v>0.66114600290520398</v>
      </c>
      <c r="F32" s="1">
        <v>0.709954456639043</v>
      </c>
      <c r="G32" s="1">
        <v>0.74114079485270601</v>
      </c>
      <c r="H32" s="1">
        <v>0.58118287655912304</v>
      </c>
      <c r="I32" s="1">
        <v>0.67946790599109896</v>
      </c>
      <c r="J32" s="8">
        <v>0.60167503170075098</v>
      </c>
    </row>
    <row r="33" spans="1:10" x14ac:dyDescent="0.2">
      <c r="A33" s="5" t="s">
        <v>21</v>
      </c>
      <c r="B33" s="1">
        <v>0.8</v>
      </c>
      <c r="C33" s="1">
        <v>0.66290407910482196</v>
      </c>
      <c r="D33" s="1">
        <v>0.640560888386975</v>
      </c>
      <c r="E33" s="1">
        <v>0.60668057267485498</v>
      </c>
      <c r="F33" s="1">
        <v>0.82748550168403001</v>
      </c>
      <c r="G33" s="1">
        <v>0.88934044320124805</v>
      </c>
      <c r="H33" s="1">
        <v>0.384699719661455</v>
      </c>
      <c r="I33" s="1">
        <v>0.71006789452235097</v>
      </c>
      <c r="J33" s="8">
        <v>0.47848097389410199</v>
      </c>
    </row>
    <row r="34" spans="1:10" x14ac:dyDescent="0.2">
      <c r="A34" s="5" t="s">
        <v>21</v>
      </c>
      <c r="B34" s="1">
        <v>0.6</v>
      </c>
      <c r="C34" s="1">
        <v>0.661642838648276</v>
      </c>
      <c r="D34" s="1">
        <v>0.63016939582156895</v>
      </c>
      <c r="E34" s="1">
        <v>0.59083960360895704</v>
      </c>
      <c r="F34" s="1">
        <v>0.79220200897580295</v>
      </c>
      <c r="G34" s="1">
        <v>0.89984223189652801</v>
      </c>
      <c r="H34" s="1">
        <v>0.36336590060144802</v>
      </c>
      <c r="I34" s="1">
        <v>0.70835275899560002</v>
      </c>
      <c r="J34" s="8">
        <v>0.47372254620232201</v>
      </c>
    </row>
    <row r="35" spans="1:10" x14ac:dyDescent="0.2">
      <c r="A35" s="5" t="s">
        <v>21</v>
      </c>
      <c r="B35" s="1">
        <v>0.7</v>
      </c>
      <c r="C35" s="1">
        <v>0.63465440625896596</v>
      </c>
      <c r="D35" s="1">
        <v>0.60709203839638604</v>
      </c>
      <c r="E35" s="1">
        <v>0.59098032460736205</v>
      </c>
      <c r="F35" s="1">
        <v>0.78092566971327604</v>
      </c>
      <c r="G35" s="1">
        <v>0.85435587839046401</v>
      </c>
      <c r="H35" s="1">
        <v>0.361735588384412</v>
      </c>
      <c r="I35" s="1">
        <v>0.68138597853433003</v>
      </c>
      <c r="J35" s="8">
        <v>0.42411298204023201</v>
      </c>
    </row>
    <row r="36" spans="1:10" x14ac:dyDescent="0.2">
      <c r="A36" s="5" t="s">
        <v>21</v>
      </c>
      <c r="B36" s="1">
        <v>0.95</v>
      </c>
      <c r="C36" s="1">
        <v>0.62243747915194103</v>
      </c>
      <c r="D36" s="1">
        <v>0.59972896668548803</v>
      </c>
      <c r="E36" s="1">
        <v>0.560247966987377</v>
      </c>
      <c r="F36" s="1">
        <v>0.84762824799932701</v>
      </c>
      <c r="G36" s="1">
        <v>0.93753555947125999</v>
      </c>
      <c r="H36" s="1">
        <v>0.25777035135232002</v>
      </c>
      <c r="I36" s="1">
        <v>0.70041799218431</v>
      </c>
      <c r="J36" s="8">
        <v>0.373128830410066</v>
      </c>
    </row>
    <row r="37" spans="1:10" x14ac:dyDescent="0.2">
      <c r="A37" s="5" t="s">
        <v>21</v>
      </c>
      <c r="B37" s="1">
        <v>0.9</v>
      </c>
      <c r="C37" s="1">
        <v>0.62432277342738496</v>
      </c>
      <c r="D37" s="1">
        <v>0.59579333709768501</v>
      </c>
      <c r="E37" s="1">
        <v>0.56729692839073897</v>
      </c>
      <c r="F37" s="1">
        <v>0.80658390708605898</v>
      </c>
      <c r="G37" s="1">
        <v>0.91441009726296896</v>
      </c>
      <c r="H37" s="1">
        <v>0.28003692483130999</v>
      </c>
      <c r="I37" s="1">
        <v>0.69376982961786904</v>
      </c>
      <c r="J37" s="8">
        <v>0.37242898151159098</v>
      </c>
    </row>
    <row r="38" spans="1:10" x14ac:dyDescent="0.2">
      <c r="A38" s="5" t="s">
        <v>21</v>
      </c>
      <c r="B38" s="1">
        <v>0.4</v>
      </c>
      <c r="C38" s="1">
        <v>0.61268049461507701</v>
      </c>
      <c r="D38" s="1">
        <v>0.59278373800112905</v>
      </c>
      <c r="E38" s="1">
        <v>0.56632314710665899</v>
      </c>
      <c r="F38" s="1">
        <v>0.82766849590571201</v>
      </c>
      <c r="G38" s="1">
        <v>0.87780716009086401</v>
      </c>
      <c r="H38" s="1">
        <v>0.31621602835572199</v>
      </c>
      <c r="I38" s="1">
        <v>0.65688066580491</v>
      </c>
      <c r="J38" s="8">
        <v>0.40996276755193301</v>
      </c>
    </row>
    <row r="39" spans="1:10" x14ac:dyDescent="0.2">
      <c r="A39" s="5" t="s">
        <v>21</v>
      </c>
      <c r="B39" s="1">
        <v>0.3</v>
      </c>
      <c r="C39" s="1">
        <v>0.53937909525842198</v>
      </c>
      <c r="D39" s="1">
        <v>0.53889892715979604</v>
      </c>
      <c r="E39" s="1">
        <v>0.61693500940824197</v>
      </c>
      <c r="F39" s="1">
        <v>0.56206693824379905</v>
      </c>
      <c r="G39" s="1">
        <v>0.207290213231271</v>
      </c>
      <c r="H39" s="1">
        <v>0.86644790328159105</v>
      </c>
      <c r="I39" s="1">
        <v>0.25378505865176298</v>
      </c>
      <c r="J39" s="8">
        <v>0.64010420998422302</v>
      </c>
    </row>
    <row r="40" spans="1:10" x14ac:dyDescent="0.2">
      <c r="A40" s="5" t="s">
        <v>21</v>
      </c>
      <c r="B40" s="1">
        <v>0.1</v>
      </c>
      <c r="C40" s="1">
        <v>0.56492525023501405</v>
      </c>
      <c r="D40" s="1">
        <v>0.53798983625070496</v>
      </c>
      <c r="E40" s="1">
        <v>0.69878054823494695</v>
      </c>
      <c r="F40" s="1">
        <v>0.57042199355058298</v>
      </c>
      <c r="G40" s="1">
        <v>0.263170934815671</v>
      </c>
      <c r="H40" s="1">
        <v>0.84290809388865195</v>
      </c>
      <c r="I40" s="1">
        <v>0.31894404935230403</v>
      </c>
      <c r="J40" s="8">
        <v>0.61365063578096402</v>
      </c>
    </row>
    <row r="41" spans="1:10" x14ac:dyDescent="0.2">
      <c r="A41" s="6" t="s">
        <v>21</v>
      </c>
      <c r="B41" s="3">
        <v>0.5</v>
      </c>
      <c r="C41" s="3">
        <v>0.54628371553801403</v>
      </c>
      <c r="D41" s="3">
        <v>0.52759081498211902</v>
      </c>
      <c r="E41" s="3">
        <v>0.61419744077638805</v>
      </c>
      <c r="F41" s="3">
        <v>0.53470123314716</v>
      </c>
      <c r="G41" s="3">
        <v>0.15742030958719699</v>
      </c>
      <c r="H41" s="3">
        <v>0.90868537458610898</v>
      </c>
      <c r="I41" s="3">
        <v>0.195424563711002</v>
      </c>
      <c r="J41" s="9">
        <v>0.656268108317413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8CD9-E898-6E4F-8FAE-8C3A16AD32A8}">
  <dimension ref="A1:J26"/>
  <sheetViews>
    <sheetView tabSelected="1" zoomScale="194" workbookViewId="0">
      <selection activeCell="D7" sqref="D7"/>
    </sheetView>
  </sheetViews>
  <sheetFormatPr baseColWidth="10" defaultRowHeight="15" x14ac:dyDescent="0.2"/>
  <cols>
    <col min="4" max="4" width="14.33203125" customWidth="1"/>
    <col min="7" max="7" width="15.1640625" customWidth="1"/>
    <col min="8" max="8" width="15.33203125" customWidth="1"/>
    <col min="9" max="9" width="12.33203125" customWidth="1"/>
    <col min="10" max="10" width="12.5" customWidth="1"/>
  </cols>
  <sheetData>
    <row r="1" spans="1:10" x14ac:dyDescent="0.2">
      <c r="A1" s="17" t="s">
        <v>22</v>
      </c>
      <c r="B1" s="18" t="s">
        <v>0</v>
      </c>
      <c r="C1" s="18" t="s">
        <v>1</v>
      </c>
      <c r="D1" s="18" t="s">
        <v>23</v>
      </c>
      <c r="E1" s="18" t="s">
        <v>24</v>
      </c>
      <c r="F1" s="18" t="s">
        <v>25</v>
      </c>
      <c r="G1" s="18" t="s">
        <v>26</v>
      </c>
      <c r="H1" s="18" t="s">
        <v>27</v>
      </c>
      <c r="I1" s="18" t="s">
        <v>28</v>
      </c>
      <c r="J1" s="19" t="s">
        <v>29</v>
      </c>
    </row>
    <row r="2" spans="1:10" x14ac:dyDescent="0.2">
      <c r="A2" s="20">
        <v>1</v>
      </c>
      <c r="B2" s="13" t="s">
        <v>20</v>
      </c>
      <c r="C2" s="13">
        <v>0.4</v>
      </c>
      <c r="D2" s="13">
        <v>0.74270000000000003</v>
      </c>
      <c r="E2" s="13">
        <v>0.74460000000000004</v>
      </c>
      <c r="F2" s="13">
        <v>0.7399</v>
      </c>
      <c r="G2" s="14">
        <v>0.73729999999999996</v>
      </c>
      <c r="H2" s="14">
        <v>0.74960000000000004</v>
      </c>
      <c r="I2" s="14">
        <v>0.75360000000000005</v>
      </c>
      <c r="J2" s="21">
        <v>0.73199999999999998</v>
      </c>
    </row>
    <row r="3" spans="1:10" x14ac:dyDescent="0.2">
      <c r="A3" s="20">
        <v>2</v>
      </c>
      <c r="B3" s="13" t="s">
        <v>20</v>
      </c>
      <c r="C3" s="13">
        <v>0.1</v>
      </c>
      <c r="D3" s="13">
        <v>0.74229999999999996</v>
      </c>
      <c r="E3" s="13">
        <v>0.74429999999999996</v>
      </c>
      <c r="F3" s="13">
        <v>0.73860000000000003</v>
      </c>
      <c r="G3" s="14">
        <v>0.7359</v>
      </c>
      <c r="H3" s="14">
        <v>0.74870000000000003</v>
      </c>
      <c r="I3" s="14">
        <v>0.75380000000000003</v>
      </c>
      <c r="J3" s="21">
        <v>0.72989999999999999</v>
      </c>
    </row>
    <row r="4" spans="1:10" x14ac:dyDescent="0.2">
      <c r="A4" s="20">
        <v>3</v>
      </c>
      <c r="B4" s="13" t="s">
        <v>20</v>
      </c>
      <c r="C4" s="13">
        <v>0.3</v>
      </c>
      <c r="D4" s="13">
        <v>0.7419</v>
      </c>
      <c r="E4" s="13">
        <v>0.74239999999999995</v>
      </c>
      <c r="F4" s="13">
        <v>0.74</v>
      </c>
      <c r="G4" s="14">
        <v>0.73729999999999996</v>
      </c>
      <c r="H4" s="14">
        <v>0.74680000000000002</v>
      </c>
      <c r="I4" s="14">
        <v>0.74890000000000001</v>
      </c>
      <c r="J4" s="21">
        <v>0.73450000000000004</v>
      </c>
    </row>
    <row r="5" spans="1:10" x14ac:dyDescent="0.2">
      <c r="A5" s="20">
        <v>4</v>
      </c>
      <c r="B5" s="13" t="s">
        <v>20</v>
      </c>
      <c r="C5" s="13">
        <v>0.9</v>
      </c>
      <c r="D5" s="13">
        <v>0.74009999999999998</v>
      </c>
      <c r="E5" s="13">
        <v>0.74070000000000003</v>
      </c>
      <c r="F5" s="13">
        <v>0.73809999999999998</v>
      </c>
      <c r="G5" s="14">
        <v>0.73560000000000003</v>
      </c>
      <c r="H5" s="14">
        <v>0.74560000000000004</v>
      </c>
      <c r="I5" s="14">
        <v>0.74780000000000002</v>
      </c>
      <c r="J5" s="21">
        <v>0.73260000000000003</v>
      </c>
    </row>
    <row r="6" spans="1:10" x14ac:dyDescent="0.2">
      <c r="A6" s="22">
        <v>5</v>
      </c>
      <c r="B6" s="23" t="s">
        <v>20</v>
      </c>
      <c r="C6" s="23">
        <v>0.7</v>
      </c>
      <c r="D6" s="23">
        <v>0.73970000000000002</v>
      </c>
      <c r="E6" s="23">
        <v>0.73960000000000004</v>
      </c>
      <c r="F6" s="23">
        <v>0.7389</v>
      </c>
      <c r="G6" s="24">
        <v>0.7379</v>
      </c>
      <c r="H6" s="24">
        <v>0.74209999999999998</v>
      </c>
      <c r="I6" s="24">
        <v>0.74250000000000005</v>
      </c>
      <c r="J6" s="25">
        <v>0.7369</v>
      </c>
    </row>
    <row r="8" spans="1:10" x14ac:dyDescent="0.2">
      <c r="A8" s="15" t="s">
        <v>30</v>
      </c>
      <c r="B8" s="16"/>
      <c r="C8" s="16"/>
      <c r="D8" s="16"/>
      <c r="E8" s="16"/>
      <c r="F8" s="16"/>
      <c r="G8" s="16"/>
      <c r="H8" s="16"/>
      <c r="I8" s="16"/>
      <c r="J8" s="16"/>
    </row>
    <row r="9" spans="1:10" x14ac:dyDescent="0.2">
      <c r="A9" s="16"/>
      <c r="B9" s="16"/>
      <c r="C9" s="16"/>
      <c r="D9" s="16"/>
      <c r="E9" s="16"/>
      <c r="F9" s="16"/>
      <c r="G9" s="16"/>
      <c r="H9" s="16"/>
      <c r="I9" s="16"/>
      <c r="J9" s="16"/>
    </row>
    <row r="10" spans="1:10" x14ac:dyDescent="0.2">
      <c r="A10" s="16"/>
      <c r="B10" s="16"/>
      <c r="C10" s="16"/>
      <c r="D10" s="16"/>
      <c r="E10" s="16"/>
      <c r="F10" s="16"/>
      <c r="G10" s="16"/>
      <c r="H10" s="16"/>
      <c r="I10" s="16"/>
      <c r="J10" s="16"/>
    </row>
    <row r="11" spans="1:10" x14ac:dyDescent="0.2">
      <c r="A11" s="16"/>
      <c r="B11" s="16"/>
      <c r="C11" s="16"/>
      <c r="D11" s="16"/>
      <c r="E11" s="16"/>
      <c r="F11" s="16"/>
      <c r="G11" s="16"/>
      <c r="H11" s="16"/>
      <c r="I11" s="16"/>
      <c r="J11" s="16"/>
    </row>
    <row r="12" spans="1:10" x14ac:dyDescent="0.2">
      <c r="A12" s="16"/>
      <c r="B12" s="16"/>
      <c r="C12" s="16"/>
      <c r="D12" s="16"/>
      <c r="E12" s="16"/>
      <c r="F12" s="16"/>
      <c r="G12" s="16"/>
      <c r="H12" s="16"/>
      <c r="I12" s="16"/>
      <c r="J12" s="16"/>
    </row>
    <row r="13" spans="1:10" x14ac:dyDescent="0.2">
      <c r="A13" s="16"/>
      <c r="B13" s="16"/>
      <c r="C13" s="16"/>
      <c r="D13" s="16"/>
      <c r="E13" s="16"/>
      <c r="F13" s="16"/>
      <c r="G13" s="16"/>
      <c r="H13" s="16"/>
      <c r="I13" s="16"/>
      <c r="J13" s="16"/>
    </row>
    <row r="14" spans="1:10" x14ac:dyDescent="0.2">
      <c r="A14" s="16"/>
      <c r="B14" s="16"/>
      <c r="C14" s="16"/>
      <c r="D14" s="16"/>
      <c r="E14" s="16"/>
      <c r="F14" s="16"/>
      <c r="G14" s="16"/>
      <c r="H14" s="16"/>
      <c r="I14" s="16"/>
      <c r="J14" s="16"/>
    </row>
    <row r="15" spans="1:10" x14ac:dyDescent="0.2">
      <c r="A15" s="16"/>
      <c r="B15" s="16"/>
      <c r="C15" s="16"/>
      <c r="D15" s="16"/>
      <c r="E15" s="16"/>
      <c r="F15" s="16"/>
      <c r="G15" s="16"/>
      <c r="H15" s="16"/>
      <c r="I15" s="16"/>
      <c r="J15" s="16"/>
    </row>
    <row r="16" spans="1:10" x14ac:dyDescent="0.2">
      <c r="A16" s="16"/>
      <c r="B16" s="16"/>
      <c r="C16" s="16"/>
      <c r="D16" s="16"/>
      <c r="E16" s="16"/>
      <c r="F16" s="16"/>
      <c r="G16" s="16"/>
      <c r="H16" s="16"/>
      <c r="I16" s="16"/>
      <c r="J16" s="16"/>
    </row>
    <row r="17" spans="1:10" x14ac:dyDescent="0.2">
      <c r="A17" s="16"/>
      <c r="B17" s="16"/>
      <c r="C17" s="16"/>
      <c r="D17" s="16"/>
      <c r="E17" s="16"/>
      <c r="F17" s="16"/>
      <c r="G17" s="16"/>
      <c r="H17" s="16"/>
      <c r="I17" s="16"/>
      <c r="J17" s="16"/>
    </row>
    <row r="18" spans="1:10" x14ac:dyDescent="0.2">
      <c r="A18" s="16"/>
      <c r="B18" s="16"/>
      <c r="C18" s="16"/>
      <c r="D18" s="16"/>
      <c r="E18" s="16"/>
      <c r="F18" s="16"/>
      <c r="G18" s="16"/>
      <c r="H18" s="16"/>
      <c r="I18" s="16"/>
      <c r="J18" s="16"/>
    </row>
    <row r="19" spans="1:10" x14ac:dyDescent="0.2">
      <c r="A19" s="16"/>
      <c r="B19" s="16"/>
      <c r="C19" s="16"/>
      <c r="D19" s="16"/>
      <c r="E19" s="16"/>
      <c r="F19" s="16"/>
      <c r="G19" s="16"/>
      <c r="H19" s="16"/>
      <c r="I19" s="16"/>
      <c r="J19" s="16"/>
    </row>
    <row r="20" spans="1:10" x14ac:dyDescent="0.2">
      <c r="A20" s="16"/>
      <c r="B20" s="16"/>
      <c r="C20" s="16"/>
      <c r="D20" s="16"/>
      <c r="E20" s="16"/>
      <c r="F20" s="16"/>
      <c r="G20" s="16"/>
      <c r="H20" s="16"/>
      <c r="I20" s="16"/>
      <c r="J20" s="16"/>
    </row>
    <row r="21" spans="1:10" x14ac:dyDescent="0.2">
      <c r="A21" s="16"/>
      <c r="B21" s="16"/>
      <c r="C21" s="16"/>
      <c r="D21" s="16"/>
      <c r="E21" s="16"/>
      <c r="F21" s="16"/>
      <c r="G21" s="16"/>
      <c r="H21" s="16"/>
      <c r="I21" s="16"/>
      <c r="J21" s="16"/>
    </row>
    <row r="22" spans="1:10" x14ac:dyDescent="0.2">
      <c r="A22" s="16"/>
      <c r="B22" s="16"/>
      <c r="C22" s="16"/>
      <c r="D22" s="16"/>
      <c r="E22" s="16"/>
      <c r="F22" s="16"/>
      <c r="G22" s="16"/>
      <c r="H22" s="16"/>
      <c r="I22" s="16"/>
      <c r="J22" s="16"/>
    </row>
    <row r="23" spans="1:10" x14ac:dyDescent="0.2">
      <c r="A23" s="16"/>
      <c r="B23" s="16"/>
      <c r="C23" s="16"/>
      <c r="D23" s="16"/>
      <c r="E23" s="16"/>
      <c r="F23" s="16"/>
      <c r="G23" s="16"/>
      <c r="H23" s="16"/>
      <c r="I23" s="16"/>
      <c r="J23" s="16"/>
    </row>
    <row r="24" spans="1:10" x14ac:dyDescent="0.2">
      <c r="A24" s="16"/>
      <c r="B24" s="16"/>
      <c r="C24" s="16"/>
      <c r="D24" s="16"/>
      <c r="E24" s="16"/>
      <c r="F24" s="16"/>
      <c r="G24" s="16"/>
      <c r="H24" s="16"/>
      <c r="I24" s="16"/>
      <c r="J24" s="16"/>
    </row>
    <row r="25" spans="1:10" x14ac:dyDescent="0.2">
      <c r="A25" s="16"/>
      <c r="B25" s="16"/>
      <c r="C25" s="16"/>
      <c r="D25" s="16"/>
      <c r="E25" s="16"/>
      <c r="F25" s="16"/>
      <c r="G25" s="16"/>
      <c r="H25" s="16"/>
      <c r="I25" s="16"/>
      <c r="J25" s="16"/>
    </row>
    <row r="26" spans="1:10" x14ac:dyDescent="0.2">
      <c r="A26" s="16"/>
      <c r="B26" s="16"/>
      <c r="C26" s="16"/>
      <c r="D26" s="16"/>
      <c r="E26" s="16"/>
      <c r="F26" s="16"/>
      <c r="G26" s="16"/>
      <c r="H26" s="16"/>
      <c r="I26" s="16"/>
      <c r="J26" s="16"/>
    </row>
  </sheetData>
  <mergeCells count="1">
    <mergeCell ref="A8:J26"/>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A82FF917139B4B90E403B31D051A55" ma:contentTypeVersion="3" ma:contentTypeDescription="Create a new document." ma:contentTypeScope="" ma:versionID="4aa8b1c1fb0651f3e17511489c66efa7">
  <xsd:schema xmlns:xsd="http://www.w3.org/2001/XMLSchema" xmlns:xs="http://www.w3.org/2001/XMLSchema" xmlns:p="http://schemas.microsoft.com/office/2006/metadata/properties" xmlns:ns2="25873d0a-6095-4c7c-a328-2d50bde04466" targetNamespace="http://schemas.microsoft.com/office/2006/metadata/properties" ma:root="true" ma:fieldsID="c0f455ae40f7a95b5af74d33e37e1bd5" ns2:_="">
    <xsd:import namespace="25873d0a-6095-4c7c-a328-2d50bde044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73d0a-6095-4c7c-a328-2d50bde04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C6144-A03C-4307-ABEB-4A51C32221ED}">
  <ds:schemaRefs>
    <ds:schemaRef ds:uri="http://www.w3.org/XML/1998/namespace"/>
    <ds:schemaRef ds:uri="http://purl.org/dc/elements/1.1/"/>
    <ds:schemaRef ds:uri="http://purl.org/dc/dcmitype/"/>
    <ds:schemaRef ds:uri="http://schemas.microsoft.com/office/2006/metadata/properties"/>
    <ds:schemaRef ds:uri="25873d0a-6095-4c7c-a328-2d50bde04466"/>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F313A9DE-F892-47EB-B35E-567FD0EDB7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73d0a-6095-4c7c-a328-2d50bde04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579ECB-16BF-4736-9B03-DB69956889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Classification</vt:lpstr>
      <vt:lpstr>Classification_Bestmodels</vt:lpstr>
      <vt:lpstr>CVClassification</vt:lpstr>
      <vt:lpstr>CV_Bestmodel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Chakrapani Gajji</cp:lastModifiedBy>
  <cp:revision/>
  <dcterms:created xsi:type="dcterms:W3CDTF">2025-12-04T19:36:59Z</dcterms:created>
  <dcterms:modified xsi:type="dcterms:W3CDTF">2025-12-06T18:38:27Z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0x01010027A82FF917139B4B90E403B31D051A55</vt:lpwstr>
  </property>
</Properties>
</file>